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1. Functional Scope" sheetId="2" r:id="rId6"/>
    <sheet state="visible" name="2. API &amp; Integration" sheetId="3" r:id="rId7"/>
    <sheet state="visible" name="3. Sandbox &amp; DX" sheetId="4" r:id="rId8"/>
    <sheet state="visible" name="4. Documentation" sheetId="5" r:id="rId9"/>
    <sheet state="visible" name="5. Build-Phase Support" sheetId="6" r:id="rId10"/>
    <sheet state="visible" name="6. SLAs &amp; Support" sheetId="7" r:id="rId11"/>
    <sheet state="visible" name="7. Resilience &amp; Data" sheetId="8" r:id="rId12"/>
    <sheet state="visible" name="8. Delivery &amp; References" sheetId="9" r:id="rId13"/>
    <sheet state="visible" name="9. Commercials" sheetId="10" r:id="rId14"/>
    <sheet state="visible" name="Gates" sheetId="11" r:id="rId15"/>
    <sheet state="visible" name="Capability Matrix" sheetId="12" r:id="rId16"/>
    <sheet state="visible" name="Scoring" sheetId="13" r:id="rId17"/>
  </sheets>
  <definedNames/>
  <calcPr/>
</workbook>
</file>

<file path=xl/sharedStrings.xml><?xml version="1.0" encoding="utf-8"?>
<sst xmlns="http://schemas.openxmlformats.org/spreadsheetml/2006/main" count="585" uniqueCount="437">
  <si>
    <t>Section 2 — API &amp; Integration Quality</t>
  </si>
  <si>
    <t>SCALAPAY — Request for Proposal — Core Banking Platform: Payment Accounts</t>
  </si>
  <si>
    <t>Answers in this section must be verifiable against the artefacts requested in Sections 3 and 7 (specifications, developer portal access, sandbox behaviour).</t>
  </si>
  <si>
    <t>Section 1 — Functional Scope</t>
  </si>
  <si>
    <t>Purpose &amp; how responses are assessed</t>
  </si>
  <si>
    <t>Section 3 — Sandbox &amp; Developer Experience</t>
  </si>
  <si>
    <t>Scalapay will run a hands-on sandbox evaluation before any commercial decision. 
The sandbox must represent production behaviour closely enough that integration estimates derived from it are reliable.</t>
  </si>
  <si>
    <r>
      <rPr>
        <rFont val="Poppins"/>
        <color rgb="FF000000"/>
        <sz val="10.0"/>
      </rPr>
      <t xml:space="preserve">Every capability in 1.1–1.4 is </t>
    </r>
    <r>
      <rPr>
        <rFont val="Poppins"/>
        <b/>
        <color rgb="FF000000"/>
        <sz val="10.0"/>
      </rPr>
      <t>required</t>
    </r>
    <r>
      <rPr>
        <rFont val="Poppins"/>
        <color rgb="FF000000"/>
        <sz val="10.0"/>
      </rPr>
      <t xml:space="preserve"> unless marked otherwise. 
Capabilities listed at 1.6 are out of scope. 
For every capability, complete the Capability Matrix tab: availability, number of live production clients using it today, integration mechanism (API / webhook / batch / BPO / manual), and any Scalapay-side development required. The questions at the bottom of this tab apply to the section as a whole.</t>
    </r>
  </si>
  <si>
    <r>
      <rPr>
        <rFont val="Poppins"/>
        <color rgb="FF1D1D1D"/>
        <sz val="10.0"/>
      </rPr>
      <t xml:space="preserve">Scalapay is selecting a core banking platform to launch and operate payment accounts and integrate them with our BNPL products. 
</t>
    </r>
    <r>
      <rPr>
        <rFont val="Poppins"/>
        <b/>
        <i/>
        <color rgb="FF1D1D1D"/>
        <sz val="10.0"/>
      </rPr>
      <t>The evaluation is evidence-based: answers must be supported by artefacts</t>
    </r>
    <r>
      <rPr>
        <rFont val="Poppins"/>
        <color rgb="FF1D1D1D"/>
        <sz val="10.0"/>
      </rPr>
      <t xml:space="preserve"> — documentation, sandbox access, sample contracts, named references — rather than statements of capability. Scored questions use the 0–5 rubric below; a claim with no supporting artefact scores a maximum of 2. 
</t>
    </r>
    <r>
      <rPr>
        <rFont val="Poppins"/>
        <b/>
        <i/>
        <color rgb="FF1D1D1D"/>
        <sz val="10.0"/>
      </rPr>
      <t>Nine pass/fail gates (G1–G9) are mandatory</t>
    </r>
    <r>
      <rPr>
        <rFont val="Poppins"/>
        <i/>
        <color rgb="FF1D1D1D"/>
        <sz val="10.0"/>
      </rPr>
      <t>:</t>
    </r>
    <r>
      <rPr>
        <rFont val="Poppins"/>
        <color rgb="FF1D1D1D"/>
        <sz val="10.0"/>
      </rPr>
      <t xml:space="preserve"> each is defined on the Gates tab and flagged on the section tab where it applies. Failing any gate ends the evaluation before commercial review, regardless of scores elsewhere.</t>
    </r>
  </si>
  <si>
    <t>WHO DOES WHAT
Vendor: fill Provider Response, Availability and Artefact Reference (PINK). 
Scalapay: fills Score and Evaluator Notes (GREY). 
Vendors must leave grey cells empty.</t>
  </si>
  <si>
    <t>How to complete this workbook</t>
  </si>
  <si>
    <t>1.1  Payment account core</t>
  </si>
  <si>
    <r>
      <rPr>
        <rFont val="Poppins"/>
        <b/>
        <color rgb="FF000000"/>
        <sz val="9.0"/>
      </rPr>
      <t xml:space="preserve">PASS/FAIL GATE G1 — Pre-contract sandbox access. 
</t>
    </r>
    <r>
      <rPr>
        <rFont val="Poppins"/>
        <color rgb="FF000000"/>
        <sz val="9.0"/>
      </rPr>
      <t>Criterion: Working sandbox credentials for up to ten named Scalapay engineers, issued within five business days of the written response, at no cost, for a minimum of ten consecutive business days before contract signature. The sandbox must expose every in-scope flow: account opening, debit and transfer instructions, instant payments, card flows, VOP, and failure simulation. Confirm on the Gates tab; full definition (evidence, qualifications, test point) is there.</t>
    </r>
  </si>
  <si>
    <t>•  Tabs 1–9 — answer every question in the pink columns: Provider Response, Availability (where applicable) and Artefact Reference. “See attached” without a page or section reference is treated as unanswered.</t>
  </si>
  <si>
    <t>•</t>
  </si>
  <si>
    <t>•  Classify every functional capability as: available today (in production with live clients) / roadmap with a committable date / roadmap without a committable date / not available.</t>
  </si>
  <si>
    <t>•  Gates tab — confirm each of the nine pass/fail gates. Any qualification must be stated in full; the gate definitions state which qualifications constitute failure.</t>
  </si>
  <si>
    <t>•  Capability Matrix tab — complete one row per capability: availability, live production client count, integration mechanism, and whether Scalapay-side development is required.</t>
  </si>
  <si>
    <t>•  All responses, technical documentation and support channels must be available in English. Identify any artefact that exists in Italian only.</t>
  </si>
  <si>
    <t>Ref</t>
  </si>
  <si>
    <t>Account opening and closing via API, including KYC data handoff and status callbacks</t>
  </si>
  <si>
    <t>•  Identify every subcontracted or third-party component (fraud engines, AML screening, card processors and the like) and the contractual relationship for each.</t>
  </si>
  <si>
    <t>•  Grey columns are for Scalapay evaluators only — leave them empty.</t>
  </si>
  <si>
    <t>Question</t>
  </si>
  <si>
    <t>•  Do not add, delete, reorder or renumber rows; the Scoring tab computes from these ranges.</t>
  </si>
  <si>
    <t>IBAN real-time issuance and lifecycle: allocation of Italian IBANs, reservation, and treatment on account closure</t>
  </si>
  <si>
    <t>Provider Response</t>
  </si>
  <si>
    <t>Evaluation process &amp; timeline</t>
  </si>
  <si>
    <t>Availability</t>
  </si>
  <si>
    <t>Balance model: available, current and ledger balances exposed via API, with defined semantics for how holds, reservations and pending postings affect each</t>
  </si>
  <si>
    <t>Milestone</t>
  </si>
  <si>
    <t>Artefact Reference</t>
  </si>
  <si>
    <t>Score (0–5)</t>
  </si>
  <si>
    <t>Statements, customer transaction history and fee postings: periodic statements (PDF and CAMT), full history via API, and itemised fee posting</t>
  </si>
  <si>
    <t>Owner</t>
  </si>
  <si>
    <t>Evaluator Notes</t>
  </si>
  <si>
    <t>Date</t>
  </si>
  <si>
    <t>Account debit instructions via API</t>
  </si>
  <si>
    <t>Q2.1</t>
  </si>
  <si>
    <t>Requirement</t>
  </si>
  <si>
    <t>Fee manager, configurable at account and product level</t>
  </si>
  <si>
    <t>Provide the complete OpenAPI (or equivalent machine-readable) specification for all in-scope APIs with your response. State the specification version and how it is kept in sync with production behaviour.</t>
  </si>
  <si>
    <t>RFP issued</t>
  </si>
  <si>
    <t>Scalapay</t>
  </si>
  <si>
    <t>[  ]</t>
  </si>
  <si>
    <t>Distribution to shortlisted providers</t>
  </si>
  <si>
    <t>Clarification questions close</t>
  </si>
  <si>
    <t>Intra-institution transfers: account-to-account transactions within Scalapay IP. A transfer from account 1 to account 2, which is not recorded under the SEPA scheme.</t>
  </si>
  <si>
    <t>Provider</t>
  </si>
  <si>
    <t>Credit transfers: standard SCT and SCT Inst: send and receive, scheduled and recurring SCT. R-transaction and exception handling.</t>
  </si>
  <si>
    <t>Written questions; answers circulated to all providers</t>
  </si>
  <si>
    <t>Verification of Payee (VOP) compliance, including the applicable EU deadlines</t>
  </si>
  <si>
    <t>Written response due</t>
  </si>
  <si>
    <t>Account blocks, freezes (full, debit-only, credit-only), holds and reserved balances, all controllable via API with reason codes</t>
  </si>
  <si>
    <t>All tabs completed; artefacts attached</t>
  </si>
  <si>
    <t>Payment limits: per-transaction and per-period limits, configurable at account and product level</t>
  </si>
  <si>
    <t>Sandbox evaluation window</t>
  </si>
  <si>
    <t>Scalapay Engineering</t>
  </si>
  <si>
    <t>Beneficiary management: trusted beneficiary lists, per-transaction and per-period limits, configurable at account and product level</t>
  </si>
  <si>
    <t>Minimum 10 business days of full sandbox access</t>
  </si>
  <si>
    <t>Technical deep-dive sessions</t>
  </si>
  <si>
    <t>SEPA Direct Debit (Core) and mandate management — state availability</t>
  </si>
  <si>
    <t>Both</t>
  </si>
  <si>
    <t>Q2.2</t>
  </si>
  <si>
    <t>2•</t>
  </si>
  <si>
    <t>Provider engineering, not sales, in attendance</t>
  </si>
  <si>
    <t>SEPA Direct Debit (B2B) as a potential future collection rail</t>
  </si>
  <si>
    <t>Reference calls</t>
  </si>
  <si>
    <t>Describe your API versioning policy: how breaking changes are introduced, the contractually committed minimum deprecation notice, and how many versions are supported concurrently.</t>
  </si>
  <si>
    <t>Q3.1</t>
  </si>
  <si>
    <t>Two live-client references of comparable scale</t>
  </si>
  <si>
    <t>Domestic Payment 1st tier: PagoPA</t>
  </si>
  <si>
    <t>Scoring &amp; decision</t>
  </si>
  <si>
    <t>Confirm sandbox access for up to ten named Scalapay engineers within five business days of your response, for a minimum ten-business-day window.</t>
  </si>
  <si>
    <t>Weighted matrix — see Scoring tab</t>
  </si>
  <si>
    <t>Who does what</t>
  </si>
  <si>
    <t>Domestic Payment 2nd tier: F24, I24, CBill, MAV/RAV, Bollettini postali.</t>
  </si>
  <si>
    <t>The vendor completes every PINK cell: question responses, availability classifications and artefact references on tabs 1–9; gate confirmations and qualifications on the Gates tab; all capability details on the Capability Matrix; and the timeline dates if not pre-filled. Scalapay completes every GREY cell after the response is returned: scores (0–5) and evaluator notes on tabs 1–9, the Pass/Fail result for each gate, and matrix evaluator notes. The Scoring tab is entirely formula-driven from Scalapay’s blue-cell entries — neither party types into it. Vendors must leave all grey cells and the Scoring tab untouched; entries found there will be disregarded.</t>
  </si>
  <si>
    <t>Q2.3</t>
  </si>
  <si>
    <t>Which events are delivered by webhook and which require polling? Provide the full event catalogue, delivery guarantees (at-least-once / at-most-once), retry and backoff behaviour, and the signature verification scheme. State which operations are asynchronous and the guaranteed maximum completion time for each.</t>
  </si>
  <si>
    <t>PSD2 obligations as account provider: SCA flows and exemption management</t>
  </si>
  <si>
    <t>PINK — vendor fills these cells</t>
  </si>
  <si>
    <t>PSD2 obligations as account provider: dedicated open-banking interface for TPP access, including its compliance status</t>
  </si>
  <si>
    <t>GREY — Scalapay evaluation only; vendors leave empty</t>
  </si>
  <si>
    <t>Top up account with a payment card: top up your account using another card (third-party issuer).</t>
  </si>
  <si>
    <t>Worked example (format only)</t>
  </si>
  <si>
    <t>Q2.4</t>
  </si>
  <si>
    <t>Cash deposits: at ATMs and affiliated POS (feature subject to a monthly limit).</t>
  </si>
  <si>
    <t>Do all mutating endpoints support idempotency keys? Describe replay behaviour and key retention period.</t>
  </si>
  <si>
    <t>Q3.2</t>
  </si>
  <si>
    <t>1.2  Risk, compliance &amp; reconciliation</t>
  </si>
  <si>
    <t>Compliant digital preservation (It. conservazione a norma), aligned with the eIDAS qualified electronic archiving service</t>
  </si>
  <si>
    <t>Describe sandbox fidelity relative to production: which services are fully simulated, which are stubbed, which are absent. Cover instant payments, card flows, VOP and failure scenarios explicitly.</t>
  </si>
  <si>
    <t>Yes — all mutating endpoints accept an Idempotency-Key header; replays return the original response. Keys retained 30 days.</t>
  </si>
  <si>
    <t>Q2.5</t>
  </si>
  <si>
    <t>Fraud management: real-time transaction screening, rules engine, case management</t>
  </si>
  <si>
    <t>Available today</t>
  </si>
  <si>
    <t>State rate limits per endpoint category, burst allowances, the response returned when limited, and the process for negotiating higher limits.</t>
  </si>
  <si>
    <t>AML: customer screening, ongoing monitoring, suspicious activity workflow (transaction monitoring)</t>
  </si>
  <si>
    <t>Daily account reconciliation, platform-native or delivered as BPO (state which, with staffing and cut-off times)</t>
  </si>
  <si>
    <t>Q3.3</t>
  </si>
  <si>
    <t>How is test data provisioned? Can Scalapay create test accounts, simulate insufficient-funds failures, trigger webhook events and reset state on demand without raising tickets?</t>
  </si>
  <si>
    <t>API Reference v4.2, §3.1, pp. 41–43; sandbox demo</t>
  </si>
  <si>
    <t>Regulatory reporting for Italian payment institutions, including threshold-driven reporting for movements above €5,000 (SARA, tax monitoring / Anagrafe dei rapporti, CRS/FATCA)</t>
  </si>
  <si>
    <t>Accounting and general ledger outputs, with export formats and posting frequency</t>
  </si>
  <si>
    <t>Q2.6</t>
  </si>
  <si>
    <t>Scoring rubric (Scalapay use)</t>
  </si>
  <si>
    <t>Customer complaints and payment investigations: intake, tracking, case management, and support for regulatory response deadlines</t>
  </si>
  <si>
    <t>Provide your error taxonomy. Are errors machine-parseable with stable codes, and is there a documented mapping from error code to recommended client behaviour?</t>
  </si>
  <si>
    <t>0</t>
  </si>
  <si>
    <t>1.3  Cards</t>
  </si>
  <si>
    <t>No answer, fundamentally non-compliant, or the evidence contradicts the claim</t>
  </si>
  <si>
    <t>Q3.4</t>
  </si>
  <si>
    <t>Connection of debit and credit cards to the payment account: card payments and withdrawals</t>
  </si>
  <si>
    <t>1</t>
  </si>
  <si>
    <t>State the sandbox availability commitment, its maintenance windows, and whether sandbox incidents carry any SLA. Is the sandbox updated in lockstep with production releases, and what notice is given before sandbox-visible changes?</t>
  </si>
  <si>
    <t>1.4  Credit integration</t>
  </si>
  <si>
    <t>Q2.7</t>
  </si>
  <si>
    <t>Material gap; unsupported statement of future intention</t>
  </si>
  <si>
    <t>Give measured production p50/p95/p99 latency — not targets — for account opening, debit instruction and transfer instruction.</t>
  </si>
  <si>
    <t>Credit on payment orders: The customer submits a payment order via the services offered by the Institution, which simultaneously provides a credit facility for the same amount - available for SCT-SCT Inst-Recurrent SCT-Domestic Payment-card payment</t>
  </si>
  <si>
    <t>2</t>
  </si>
  <si>
    <t>Partial capability, or a claim supported only by weak evidence</t>
  </si>
  <si>
    <t>Credit on incoming payments: customer express the preference in advance to pay a future payment in instalments and/or defer it, subject to predefined conditions - available for SDD (Core)-MIT and recurrent card payment</t>
  </si>
  <si>
    <t>Scalapay will connect payment accounts to credit facilities — automatic instalment debit, fund disbursement, bullet financing, flexible repayment plans. Respond to both architectures:</t>
  </si>
  <si>
    <t>3</t>
  </si>
  <si>
    <t>Meets the requirement with acceptable evidence and manageable qualifications</t>
  </si>
  <si>
    <t>Q2.8</t>
  </si>
  <si>
    <t>Q3.5</t>
  </si>
  <si>
    <t>Option A — integration with Scalapay’s existing BNPL systems, adapted to new financing types. Describe the integration points, events and constraints your platform imposes.</t>
  </si>
  <si>
    <t>Describe authentication and authorisation: mTLS/OAuth2 details, key rotation, and per-environment credential isolation.</t>
  </si>
  <si>
    <t>Based on your three most recent client onboardings, what is the expected time from credential issuance to first successful API call? We will measure this ourselves during evaluation.</t>
  </si>
  <si>
    <t>Option B — a credit management system integrated with the account platform (e.g. Qinetic or equivalent). Describe what is native, what is partnered, and the maturity of each.</t>
  </si>
  <si>
    <t>4</t>
  </si>
  <si>
    <t>1.5  Product configurability &amp; extensibility</t>
  </si>
  <si>
    <t>Fully meets the requirement with strong production evidence</t>
  </si>
  <si>
    <t>Q2.9</t>
  </si>
  <si>
    <t>Our roadmap includes financing types that do not exist today, and successors to those. The determining factor is not whether your platform supports them now, but who changes the platform when we need them — and how fast. We will evaluate every provider against the standard that the client can configure or build new account and credit products without a vendor change request.</t>
  </si>
  <si>
    <t>Describe any batch interfaces that remain mandatory: file formats, delivery windows, and the roadmap for replacing them with APIs.</t>
  </si>
  <si>
    <t>1.6  Out of scope</t>
  </si>
  <si>
    <t>5</t>
  </si>
  <si>
    <t>Multi-currency accounts and FX are out of scope: Scalapay operates in euro markets only. Providers may note multi-currency capability for information; it will not be scored and must not be priced into the proposal.</t>
  </si>
  <si>
    <t>Exceeds the requirement, proven at comparable scale, with contractual commitment</t>
  </si>
  <si>
    <t>1.7  Custodian and correspondant bank integration</t>
  </si>
  <si>
    <t>Q3.6</t>
  </si>
  <si>
    <t>Q2.10</t>
  </si>
  <si>
    <t>Please list existing integration with custodian banks and correspondant bank for the services in scope.</t>
  </si>
  <si>
    <t>Describe developer tooling: Postman/Bruno collections, SDKs and their languages, CLI tools, mock servers and local testing options.</t>
  </si>
  <si>
    <t>State the sustained and peak throughput (requests and events per second) your platform supports per endpoint category in production today, the maximum capacity you have actually load-tested, and scaling behaviour beyond it — horizontal auto-scaling, pre-provisioning, or throttling. Describe the process and lead time for a planned capacity increase, for example ahead of Black Friday peaks.</t>
  </si>
  <si>
    <t>Questions</t>
  </si>
  <si>
    <t>Q2.11</t>
  </si>
  <si>
    <t>For events: what ordering guarantees apply — global, per-account, or none? Can Scalapay replay events on demand over a chosen time range, and what is the replay retention window? Describe dead-letter handling when our endpoint is unavailable: queue retention, alerting to Scalapay, and the recovery procedure.</t>
  </si>
  <si>
    <t>Q3.7</t>
  </si>
  <si>
    <t>Is performance and load testing supported — in the sandbox or in a dedicated performance environment? State the throughput limits, whether tests can be run at agreed production-like volumes before go-live, and any associated cost.</t>
  </si>
  <si>
    <t>Q2.12</t>
  </si>
  <si>
    <t>Do all API responses and events carry a correlation or trace identifier, propagated end-to-end across your internal services, that Scalapay can log, quote in support tickets, and reconcile against our own tracing? State the identifier scheme and its retention in your logs.</t>
  </si>
  <si>
    <t>Q2.13</t>
  </si>
  <si>
    <t>Q3.8</t>
  </si>
  <si>
    <t>Describe the data-consistency model per API domain: which reads are strongly consistent, which are eventually consistent and with what typical and maximum lag, and how consistency interacts with balance checks at authorisation time. This complements the ledger question at Q1.7.</t>
  </si>
  <si>
    <t>Q1.1</t>
  </si>
  <si>
    <t>List every environment provided (sandbox, UAT, performance, production), how configuration is promoted between them — exportable configuration-as-code, manual re-entry, or vendor ticket — and how configuration drift between environments is detected.</t>
  </si>
  <si>
    <t>Which capabilities in 1.1–1.4 require platform adjustment by you before Scalapay can use them? Give effort estimates and state whether that work is at your cost or ours.</t>
  </si>
  <si>
    <t>Q2.14</t>
  </si>
  <si>
    <t>Describe recovery from partial or ambiguous outcomes — a timeout on a debit instruction, a 5xx response after processing has begun: how Scalapay determines the true state (idempotent retry, status query, emitted event), and the guaranteed maximum window within which state becomes determinable.</t>
  </si>
  <si>
    <t>Q2.15</t>
  </si>
  <si>
    <t>Describe bulk interfaces for initial migration and ongoing imports: account and balance migration, supported formats, throughput, validation and error reporting, dry-run support, and whether bulk operations can be exercised in sandbox.</t>
  </si>
  <si>
    <t>Q1.2</t>
  </si>
  <si>
    <t>Describe the end-to-end flow for a scheduled instalment debit that fails on insufficient funds: retry logic, notifications, events emitted to Scalapay, and reconciliation treatment.</t>
  </si>
  <si>
    <t>Q1.3</t>
  </si>
  <si>
    <t>For threshold-driven regulatory reporting (movements above €5,000), is detection and reporting native? Are the relevant flags exposed via API or webhook, or only in batch outputs?</t>
  </si>
  <si>
    <t>Q1.4</t>
  </si>
  <si>
    <t>For any BPO-delivered service, state service hours, cut-offs, the error-escalation path, and what happens on Italian public holidays.</t>
  </si>
  <si>
    <t>Q1.5</t>
  </si>
  <si>
    <t>Which product attributes — repayment schedules, fees, interest, limits, eligibility rules — can Scalapay configure or build ourselves, and through what mechanism (configuration UI, product SDK, code-defined products)? Which require a vendor change request, and for those: typical lead time, pricing model, and your average turnaround over the last 12 months.</t>
  </si>
  <si>
    <t>Q1.6</t>
  </si>
  <si>
    <t>Walk through, step by step, how a new financing product (for example bullet financing with a flexible repayment plan) would be created on your platform: who does the work, elapsed time from specification to production, and what pre-production testing is available — including whether a configuration can be simulated or backtested against synthetic accounts before go-live.</t>
  </si>
  <si>
    <t>Q1.7</t>
  </si>
  <si>
    <t>Is your ledger real-time and event-driven, or batch-settled? State precisely which balances and postings are available in real time versus after end-of-day, and the implications for intraday reconciliation and instant payments.</t>
  </si>
  <si>
    <t>Q1.8</t>
  </si>
  <si>
    <t>Which components (fraud, AML/KYC, card processing, credit decisioning) can Scalapay replace with our own or a third party’s? Describe the integration contract for a swapped component, and name any that are mandatorily bundled.</t>
  </si>
  <si>
    <t>Q1.9</t>
  </si>
  <si>
    <t>Beyond product configuration (Q1.5), enumerate exhaustively every category of request that must go through your change request process rather than being self-served by Scalapay — for example new webhook events, report or extract changes, parameter changes, sandbox configuration, integration adjustments. Anything not listed will be assumed self-service and treated as such in evaluation and contract. For the change request process itself: state last-12-month volume across all clients, median and p90 turnaround by request size, the pricing model, and how requests are prioritised between clients.</t>
  </si>
  <si>
    <t>Q1.10</t>
  </si>
  <si>
    <t>Define your balance model precisely: available, current and ledger balance, how authorisation holds, reserved balances and pending postings affect each, and the timing semantics relevant to instant payments and instalment debits. If your terminology differs, map it to these three.</t>
  </si>
  <si>
    <t>Q1.11</t>
  </si>
  <si>
    <t>Describe your safeguarding and settlement-account arrangements: the safeguarding method supported (segregation versus insurance or guarantee), the credit institutions involved, how safeguarded balances are reconciled daily against client funds, and how Scalapay evidences ongoing compliance to Banca d’Italia.</t>
  </si>
  <si>
    <t>Section 4 — Integration Documentation Quality</t>
  </si>
  <si>
    <t>Documentation is evaluated as a deliverable in its own right. 
We are asking for the documentation itself, not a description of it. Documentation that cannot support unassisted integration work is a defect, and is treated as one under Section 5.</t>
  </si>
  <si>
    <r>
      <rPr>
        <rFont val="Poppins"/>
        <b/>
        <color rgb="FF000000"/>
        <sz val="9.0"/>
      </rPr>
      <t xml:space="preserve">PASS/FAIL GATE G2 — 48-hour unassisted documentation exercise. 
</t>
    </r>
    <r>
      <rPr>
        <rFont val="Poppins"/>
        <color rgb="FF000000"/>
        <sz val="9.0"/>
      </rPr>
      <t>Criterion: Unconditional written consent for Scalapay engineers to spend 48 hours with your documentation and sandbox, unassisted, attempting the account-opening and debit-instruction flows end to end. Confirm on the Gates tab; full definition (evidence, qualifications, test point) is there.</t>
    </r>
  </si>
  <si>
    <r>
      <rPr>
        <rFont val="Poppins"/>
        <b/>
        <color rgb="FF000000"/>
        <sz val="9.0"/>
      </rPr>
      <t xml:space="preserve">PASS/FAIL GATE G3 — English-language documentation and support. 
</t>
    </r>
    <r>
      <rPr>
        <rFont val="Poppins"/>
        <color rgb="FF000000"/>
        <sz val="9.0"/>
      </rPr>
      <t>Criterion: All technical documentation required for the in-scope integration, and every support channel including P1 on-call, is available in English. Italian-only artefacts are acceptable only where an English version is contractually committed before integration start. Confirm on the Gates tab; full definition (evidence, qualifications, test point) is there.</t>
    </r>
  </si>
  <si>
    <t>Section 5 — Build-Phase Support Commitments</t>
  </si>
  <si>
    <t>Steady-state SLAs (Section 6) do not cover the period that most determines whether this project succeeds: the implementation. 
The commitments below must be contractual, not described as typical engagement practice.</t>
  </si>
  <si>
    <r>
      <rPr>
        <rFont val="Poppins"/>
        <b/>
        <color rgb="FF000000"/>
        <sz val="9.0"/>
      </rPr>
      <t xml:space="preserve">PASS/FAIL GATE G4 — Build-phase commitments are contractual. 
</t>
    </r>
    <r>
      <rPr>
        <rFont val="Poppins"/>
        <color rgb="FF000000"/>
        <sz val="9.0"/>
      </rPr>
      <t>Criterion: Every commitment listed at 5.1 is accepted as a contractual obligation, individually and without dilution. Confirm on the Gates tab; full definition (evidence, qualifications, test point) is there.</t>
    </r>
  </si>
  <si>
    <t>5.1  Required commitments</t>
  </si>
  <si>
    <t>Named technical integration lead: a single accountable engineer-level contact — not an account manager or a ticket queue — with committed weekly availability, named in the contract, and a defined substitution process.</t>
  </si>
  <si>
    <t>Q4.1</t>
  </si>
  <si>
    <t>Build-blocker response SLA: a first technical response, not an acknowledgement, within 4 business hours for issues blocking integration progress, with a defined path to resolution.</t>
  </si>
  <si>
    <t>Provide evaluation access to your full developer portal with this response. Identify any documentation that exists in Italian only, and state whether English versions are committed and by when.</t>
  </si>
  <si>
    <t>Direct engineering channel: a shared Slack or Teams channel with your integration engineers for the duration of the build. Email-only or portal-only support is not acceptable during the build.</t>
  </si>
  <si>
    <t>Weekly joint working sessions: standing technical sessions with your engineers present, minuted, with tracked actions.</t>
  </si>
  <si>
    <t>Sandbox defect turnaround: committed fix or workaround timelines by severity for defects found in sandbox during the build.</t>
  </si>
  <si>
    <t>Documentation defects are defects: gaps or errors found during the build enter the same workflow, with the same turnaround commitments, as software defects.</t>
  </si>
  <si>
    <t>Executive escalation: any build-blocker unresolved after 5 business days escalates automatically to your CTO or Head of Engineering, with a joint remediation plan within 2 further business days.</t>
  </si>
  <si>
    <t>Q4.2</t>
  </si>
  <si>
    <t>Provide the complete API reference for account opening and debit instruction, with request and response examples for success and for each failure mode.</t>
  </si>
  <si>
    <t>Q4.3</t>
  </si>
  <si>
    <t>Provide sequence diagrams for the in-scope end-to-end flows: account opening with KYC callbacks, scheduled instalment debit (success and failure), instant payment send and receive, and card authorisation against the account.</t>
  </si>
  <si>
    <t>Q5.1</t>
  </si>
  <si>
    <t>Confirm each commitment in 5.1 individually, stating any you will not contractually commit to and why.</t>
  </si>
  <si>
    <t>Q4.4</t>
  </si>
  <si>
    <t>Provide your error-handling and reconciliation guides, including how a client is expected to detect and repair state divergence.</t>
  </si>
  <si>
    <t>Q5.2</t>
  </si>
  <si>
    <t>Name the proposed integration lead (or the role profile, if not yet assignable), their engineering background, and the percentage of their time dedicated to Scalapay during the build.</t>
  </si>
  <si>
    <t>Q4.5</t>
  </si>
  <si>
    <t>Provide the documentation changelog for the last twelve months, plus two examples of updates issued in response to client-reported gaps in the last six months. We will use these to assess whether documentation is actively maintained.</t>
  </si>
  <si>
    <t>Q5.3</t>
  </si>
  <si>
    <t>How many concurrent client implementations is your integration team running today, and what is its headcount? How is capacity contention between clients resolved?</t>
  </si>
  <si>
    <t>Q4.6</t>
  </si>
  <si>
    <t>Q5.4</t>
  </si>
  <si>
    <t>Who owns documentation internally — a dedicated team, the engineering teams, or nobody in particular? How do clients report documentation defects, and what is the committed turnaround?</t>
  </si>
  <si>
    <t>Provide your implementation methodology and a reference project plan from a comparable client: phases, durations, Scalapay-side effort assumptions, and the three risks that most commonly cause slippage. State planned versus actual durations for your last three onboardings of comparable scope.</t>
  </si>
  <si>
    <t>Q5.5</t>
  </si>
  <si>
    <t>Describe handover from implementation to steady-state support: what knowledge transfer occurs, and does the named integration lead remain reachable post-go-live?</t>
  </si>
  <si>
    <t>Q5.6</t>
  </si>
  <si>
    <t>What penalties or remediation apply if build-phase commitments are missed — response times, defect turnaround, or milestone dates attributable to you?</t>
  </si>
  <si>
    <t>Q5.7</t>
  </si>
  <si>
    <t>If any part of the implementation is delivered by a system integrator or partner rather than your own team, identify them and state which single party is contractually accountable to Scalapay for delivery, defects and the commitments in 5.1. Shared or ambiguous accountability will be scored down.</t>
  </si>
  <si>
    <t>Section 6 — Steady-State SLAs &amp; Support</t>
  </si>
  <si>
    <r>
      <rPr>
        <rFont val="Poppins"/>
        <b/>
        <color theme="1"/>
        <sz val="9.0"/>
      </rPr>
      <t xml:space="preserve">PASS/FAIL GATE G4 — Build-phase commitments are contractual. 
</t>
    </r>
    <r>
      <rPr>
        <rFont val="Poppins"/>
        <color theme="1"/>
        <sz val="9.0"/>
      </rPr>
      <t>Criterion: Every commitment listed at 5.1 is accepted as a contractual obligation, individually and without dilution. Confirm on the Gates tab; full definition (evidence, qualifications, test point) is there.</t>
    </r>
  </si>
  <si>
    <t>Q6.1</t>
  </si>
  <si>
    <t>State the contractual uptime commitment per service tier (core account APIs, instant payments, card authorisation, webhooks, reporting), the measurement method and exclusions. Provide actual measured uptime for each over the last 12 months.</t>
  </si>
  <si>
    <t>Q6.2</t>
  </si>
  <si>
    <t>Provide incident severity definitions (P1–P4) with the contractually committed response time, update cadence and target resolution for each, plus the escalation path with named roles at each level and the criteria that trigger automatic escalation.</t>
  </si>
  <si>
    <t>Q6.3</t>
  </si>
  <si>
    <t>State support hours and languages. Confirm 24/7 coverage for P1 incidents affecting payment processing, with English-speaking engineers on call.</t>
  </si>
  <si>
    <t>Q6.4</t>
  </si>
  <si>
    <t>Detail the service credit and penalty regime for SLA breaches, including caps, and whether repeated breach is a termination trigger.</t>
  </si>
  <si>
    <t>Q6.5</t>
  </si>
  <si>
    <t>Commit to a written post-incident review within 5 business days of every P1 and P2, including root cause and remediation. Provide two recent redacted examples.</t>
  </si>
  <si>
    <t>Q6.6</t>
  </si>
  <si>
    <t>How is planned maintenance scheduled and communicated, and what is the maximum monthly planned downtime for payment-critical services?</t>
  </si>
  <si>
    <t>Q6.7</t>
  </si>
  <si>
    <t>Provide your incident history for the last 12 months: the number of P1 and P2 incidents, and the three most impactful, with root causes.</t>
  </si>
  <si>
    <t>Q6.8</t>
  </si>
  <si>
    <t>What client-accessible operational telemetry do you provide: a status page with per-component granularity, API and webhook-delivery metrics (success rates, latency, queue depth) via dashboard or metrics API, and proactive alerting to Scalapay when our integration degrades? State the retention period for operational metrics.</t>
  </si>
  <si>
    <t>Q6.9</t>
  </si>
  <si>
    <t>State your production release frequency and the change-notification process: channel, notice period by change type (functional, non-functional, breaking), and whether Scalapay can schedule or defer adoption of changes affecting our integration.</t>
  </si>
  <si>
    <t>Section 7 — Resilience, Security, Compliance &amp; Data</t>
  </si>
  <si>
    <t>7.1 covers operational resilience, security and compliance (Q7.1–Q7.8). 
7.2 covers data ownership and accessibility (Q7.9–Q7.14): all account, transaction, customer and operational data generated on the platform under this engagement is Scalapay’s data, and answers in 7.2 will be verified during the sandbox evaluation.</t>
  </si>
  <si>
    <r>
      <rPr>
        <rFont val="Poppins"/>
        <b/>
        <color theme="1"/>
        <sz val="9.0"/>
      </rPr>
      <t xml:space="preserve">PASS/FAIL GATE G6 — EU data residency. 
</t>
    </r>
    <r>
      <rPr>
        <rFont val="Poppins"/>
        <color theme="1"/>
        <sz val="9.0"/>
      </rPr>
      <t>Criterion: All personal and transactional data is stored and processed within the EU/EEA, by the provider and by every subprocessor. Confirm on the Gates tab; full definition (evidence, qualifications, test point) is there.</t>
    </r>
  </si>
  <si>
    <r>
      <rPr>
        <rFont val="Poppins"/>
        <b/>
        <color theme="1"/>
        <sz val="9.0"/>
      </rPr>
      <t xml:space="preserve">PASS/FAIL GATE G7 — EBA / DORA outsourcing compliance. 
</t>
    </r>
    <r>
      <rPr>
        <rFont val="Poppins"/>
        <color theme="1"/>
        <sz val="9.0"/>
      </rPr>
      <t>Criterion: Compliance with the EBA Guidelines on outsourcing arrangements and with DORA, with contractual audit and access rights for Scalapay and for Banca d’Italia. Confirm on the Gates tab; full definition (evidence, qualifications, test point) is there.</t>
    </r>
  </si>
  <si>
    <r>
      <rPr>
        <rFont val="Poppins"/>
        <b/>
        <color theme="1"/>
        <sz val="9.0"/>
      </rPr>
      <t xml:space="preserve">PASS/FAIL GATE G8 — Exit and migration terms. 
</t>
    </r>
    <r>
      <rPr>
        <rFont val="Poppins"/>
        <color theme="1"/>
        <sz val="9.0"/>
      </rPr>
      <t>Criterion: The contract commits to full data export in machine-readable formats, defined migration assistance with stated duration and pricing, and a stated maximum notice period. Confirm on the Gates tab; full definition (evidence, qualifications, test point) is there.</t>
    </r>
  </si>
  <si>
    <r>
      <rPr>
        <rFont val="Poppins"/>
        <b/>
        <color theme="1"/>
        <sz val="9.0"/>
      </rPr>
      <t xml:space="preserve">PASS/FAIL GATE G9 — Data ownership and unrestricted access. 
</t>
    </r>
    <r>
      <rPr>
        <rFont val="Poppins"/>
        <color theme="1"/>
        <sz val="9.0"/>
      </rPr>
      <t>Criterion: The contract states that Scalapay owns all account, transaction, customer and operational data generated under the engagement, and can access and export it in full, in machine-readable formats, without restriction, additional licensing, tickets or per-extract fees. Confirm on the Gates tab; full definition (evidence, qualifications, test point) is there.</t>
    </r>
  </si>
  <si>
    <t>Q7.1</t>
  </si>
  <si>
    <t>Describe your disaster recovery architecture: contractually committed RTO and RPO per service tier, last full DR test date and results. Confirm Scalapay’s right to participate in an annual DR test.</t>
  </si>
  <si>
    <t>Section 8 — Delivery, Team &amp; References</t>
  </si>
  <si>
    <t>This section is unweighted in the scoring model; reference calls and the sandbox evaluation may adjust category scores by ±1 point where evidence contradicts the written response.</t>
  </si>
  <si>
    <t>Q7.2</t>
  </si>
  <si>
    <t>Where is data hosted and processed, including all subprocessors? Confirm EU data residency for all personal and transactional data, and describe the subprocessor change-notification process.</t>
  </si>
  <si>
    <t>Q8.1</t>
  </si>
  <si>
    <t>Provide the proposed delivery team structure with named individuals or role profiles, their fintech and payments experience, and location and time zone.</t>
  </si>
  <si>
    <t>Q7.3</t>
  </si>
  <si>
    <t>Confirm compliance with the EBA Guidelines on outsourcing arrangements and with DORA, including audit and access rights for Scalapay and for Banca d’Italia. Provide your standard outsourcing register pack.</t>
  </si>
  <si>
    <t>Q8.2</t>
  </si>
  <si>
    <t>Q7.4</t>
  </si>
  <si>
    <t>Provide the committed timeline for the feasibility analysis, GAP analysis and economic impact assessment, and the remedies if those dates slip for reasons attributable to you.</t>
  </si>
  <si>
    <t>Provide current certifications and attestations (ISO 27001, SOC 2 Type II, PCI DSS where card data is in scope) with scope statements and dates.</t>
  </si>
  <si>
    <t>Q8.3</t>
  </si>
  <si>
    <t>Provide two references from live clients of comparable scale running the in-scope capabilities in production, with consent for direct calls including their engineering leads.</t>
  </si>
  <si>
    <t>Q7.5</t>
  </si>
  <si>
    <t>Describe your secure development lifecycle, vulnerability management SLAs by severity, and client notification commitments for vulnerabilities affecting our services. State penetration testing cadence, whether client-commissioned tests are permitted, and how findings are communicated.</t>
  </si>
  <si>
    <t>Q8.4</t>
  </si>
  <si>
    <t>Describe your product roadmap for the next 18 months for the in-scope services, and how client input is weighted in prioritisation.</t>
  </si>
  <si>
    <t>Q7.6</t>
  </si>
  <si>
    <t>Q8.5</t>
  </si>
  <si>
    <t>Detail exit and migration terms: data export formats and completeness, committed assistance, transition service duration and pricing, and the contractual maximum notice period. Exit terms are weighted heavily — describe a past client offboarding and how it was executed.</t>
  </si>
  <si>
    <t>State your financial standing (audited accounts or equivalent assurance), ownership structure, and any pending material litigation or regulatory matters.</t>
  </si>
  <si>
    <t>Q7.7</t>
  </si>
  <si>
    <t>What are your business continuity arrangements for BPO-delivered services, including key-person risk?</t>
  </si>
  <si>
    <t>Q7.8</t>
  </si>
  <si>
    <t>Section 9 — Commercials</t>
  </si>
  <si>
    <t>State the deployment models available (managed SaaS in dedicated tenancy, shared SaaS, self-hosted in Scalapay’s cloud account) and for each: who operates the infrastructure, upgrade cadence and control, and cost implications.</t>
  </si>
  <si>
    <t>All pricing in EUR, exclusive of VAT, and valid for at least 6 months from submission.</t>
  </si>
  <si>
    <t>Q7.9</t>
  </si>
  <si>
    <t>Confirm data ownership as stated above, and identify any category you consider excluded — derived scores, model outputs, platform telemetry — with justification.</t>
  </si>
  <si>
    <t>Q7.10</t>
  </si>
  <si>
    <t>Describe Scalapay’s access to our own raw platform data for analytics: is there a structured data layer or near-real-time streaming export we can connect to our own warehouse and BI tooling, independent of your reporting modules? State formats, latency and any charges.</t>
  </si>
  <si>
    <t>Q9.1</t>
  </si>
  <si>
    <t>Provide pricing broken out per service — account maintenance, transactions by type, instant payments, cards, fraud, AML, reconciliation BPO, reporting — not as a single bundled figure. Include all one-off implementation costs.</t>
  </si>
  <si>
    <t>Q7.11</t>
  </si>
  <si>
    <t>Can Scalapay run ad-hoc queries against our own data self-service, or are non-standard extracts fulfilled by your team on request? If the latter: turnaround, cost, and the roadmap to self-service.</t>
  </si>
  <si>
    <t>Q7.12</t>
  </si>
  <si>
    <t>Q9.2</t>
  </si>
  <si>
    <t>State data retention and queryability windows: how far back data is available online via API or data layer, what is archived, and the lead time and cost to retrieve archived data.</t>
  </si>
  <si>
    <t>State how the pricing model behaves at 2x, 5x and 10x current projected volumes, including volume discounts and any minimum commitments.</t>
  </si>
  <si>
    <t>Q7.13</t>
  </si>
  <si>
    <t>Q9.3</t>
  </si>
  <si>
    <t>Describe access to the full event and audit trail — every state change, actor and timestamp — for our compliance, dispute and incident investigations, not summarised reports. Is it exportable, and over what retention period?</t>
  </si>
  <si>
    <t>Identify every cost that is usage-triggered or open-ended: per-ticket support charges, change-request day rates, per-report fees and the like.</t>
  </si>
  <si>
    <t>Q7.14</t>
  </si>
  <si>
    <t>Q9.4</t>
  </si>
  <si>
    <t>For BPO-delivered services, what working data does Scalapay see: the full underlying records and break-level detail, or only outcome summaries?</t>
  </si>
  <si>
    <t>State price review mechanics: indexation, caps on annual increases, and notice periods.</t>
  </si>
  <si>
    <t>Q9.5</t>
  </si>
  <si>
    <t>Confirm that sandbox access, documentation access and all evaluation activities in this RFP are provided at no cost.</t>
  </si>
  <si>
    <t>WHO DOES WHAT — Vendor: confirm each gate and state any qualifications (PINK). Scalapay: decides Pass/Fail and records evaluator notes (GREY) — the vendor confirmation is input to that decision, not the decision itself. Vendors must leave grey cells empty.</t>
  </si>
  <si>
    <t>ID</t>
  </si>
  <si>
    <t>Gate</t>
  </si>
  <si>
    <t>Applies to</t>
  </si>
  <si>
    <t>Acceptance Criterion</t>
  </si>
  <si>
    <t>Required Evidence</t>
  </si>
  <si>
    <t>Qualifications &amp; Carve-outs</t>
  </si>
  <si>
    <t>Tested</t>
  </si>
  <si>
    <t>Provider Confirmation</t>
  </si>
  <si>
    <t>Provider Qualifications / Evidence Reference</t>
  </si>
  <si>
    <t>Scalapay Result</t>
  </si>
  <si>
    <t>G1</t>
  </si>
  <si>
    <t>Pre-contract sandbox access</t>
  </si>
  <si>
    <t>Tab 3</t>
  </si>
  <si>
    <t>Working sandbox credentials for up to ten named Scalapay engineers, issued within five business days of the written response, at no cost, for a minimum of ten consecutive business days before contract signature. The sandbox must expose every in-scope flow: account opening, debit and transfer instructions, instant payments, card flows, VOP, and failure simulation.</t>
  </si>
  <si>
    <t>Credentials issued on time; the fidelity statement at Q3.2 verified hands-on by Scalapay engineers during the window.</t>
  </si>
  <si>
    <t>Fail if access is conditional on contract signature or payment, if any in-scope flow is absent from the sandbox, or if state reset and failure simulation require provider tickets. Standard confidentiality and fair-use terms are acceptable.</t>
  </si>
  <si>
    <t>At credential issuance, then throughout the sandbox evaluation window.</t>
  </si>
  <si>
    <t>Capability Availability Matrix — one row per capability</t>
  </si>
  <si>
    <t>G2</t>
  </si>
  <si>
    <t>Availability: AT = available today (production, live clients) / RM = roadmap (committed date) / NA = not available. Integration: API / Webhook / Batch / BPO / Manual. Where a capability is delivered by a subcontractor or partner, name them in Provider Notes.</t>
  </si>
  <si>
    <t>48-hour unassisted documentation exercise</t>
  </si>
  <si>
    <t>Tab 4</t>
  </si>
  <si>
    <t>Unconditional written consent for Scalapay engineers to spend 48 hours with your documentation and sandbox, unassisted, attempting the account-opening and debit-instruction flows end to end.</t>
  </si>
  <si>
    <t>WHO DOES WHAT — Vendor: complete Availability, Live Clients, Integration, Scalapay Dev Required and Provider Notes (PINK). Scalapay: records Evaluator Notes (GREY). Vendors must leave grey cells empty.</t>
  </si>
  <si>
    <t>Explicit confirmation in the written response; developer portal access provided with the response (Q4.1).</t>
  </si>
  <si>
    <t>Fail if consent is refused, or made conditional on provider supervision, mandatory briefings, or restrictions on which documentation may be used. Confidentiality terms are acceptable. The outcome of the exercise is scored under Section 10, not gated — only refusal fails.</t>
  </si>
  <si>
    <t>Written response; the exercise itself runs during the sandbox window.</t>
  </si>
  <si>
    <t>Capability</t>
  </si>
  <si>
    <t>G3</t>
  </si>
  <si>
    <t>English-language documentation and support</t>
  </si>
  <si>
    <t>Live Production Clients</t>
  </si>
  <si>
    <t>All technical documentation required for the in-scope integration, and every support channel including P1 on-call, is available in English. Italian-only artefacts are acceptable only where an English version is contractually committed before integration start.</t>
  </si>
  <si>
    <t>Integration Mechanism</t>
  </si>
  <si>
    <t>Developer portal inspection; the Italian-only artefact list with committed dates (Q4.1); the support model at Q6.3.</t>
  </si>
  <si>
    <t>Scalapay Dev Required?</t>
  </si>
  <si>
    <t>Fail if any artefact required for integration, or any support tier, is Italian-only with no committed English date.</t>
  </si>
  <si>
    <t>Written response; verified during the 48-hour exercise and the sandbox window.</t>
  </si>
  <si>
    <t>Provider Notes</t>
  </si>
  <si>
    <t>Account opening &amp; closing</t>
  </si>
  <si>
    <t>G4</t>
  </si>
  <si>
    <t>Required</t>
  </si>
  <si>
    <t>Build-phase commitments are contractual</t>
  </si>
  <si>
    <t>Tab 5</t>
  </si>
  <si>
    <t>Every commitment listed at 5.1 is accepted as a contractual obligation, individually and without dilution.</t>
  </si>
  <si>
    <t>Item-by-item confirmation at Q5.1, plus the corresponding contract schedule or marked-up terms.</t>
  </si>
  <si>
    <t>Fail if any 5.1 item is refused or restated as ‘typical practice’, ‘best efforts’ or equivalent non-binding language. An explicit substitute commitment of equal or greater strength is acceptable.</t>
  </si>
  <si>
    <t>Written response; confirmed at contract mark-up before award.</t>
  </si>
  <si>
    <t>G5</t>
  </si>
  <si>
    <t>SLAs carry financial remedies</t>
  </si>
  <si>
    <t>Tab 6</t>
  </si>
  <si>
    <t>Every uptime and P1/P2 incident SLA carries a defined, automatic financial remedy — service credits or penalties — with the calculation stated in the contract.</t>
  </si>
  <si>
    <t>The SLA schedule and the credit/penalty regime (Q6.1, Q6.4).</t>
  </si>
  <si>
    <t>Fail if remedies are discretionary, framed as goodwill, or require case-by-case negotiation. Remedy caps are acceptable if stated; measurement exclusions must be listed exhaustively.</t>
  </si>
  <si>
    <t>Written response; confirmed at contract mark-up.</t>
  </si>
  <si>
    <t>IBAN issuance &amp; lifecycle</t>
  </si>
  <si>
    <t>G6</t>
  </si>
  <si>
    <t>EU data residency</t>
  </si>
  <si>
    <t>Tab 7</t>
  </si>
  <si>
    <t>All personal and transactional data is stored and processed within the EU/EEA, by the provider and by every subprocessor.</t>
  </si>
  <si>
    <t>Hosting architecture and the complete subprocessor list with processing locations (Q7.2); data processing terms.</t>
  </si>
  <si>
    <t>Fail if any in-scope data is stored or processed outside the EU/EEA. Remote support access from outside the EU/EEA must be declared, with controls described; undeclared third-country access fails.</t>
  </si>
  <si>
    <t>Written response; verified against the outsourcing register pack.</t>
  </si>
  <si>
    <t>Balance model (available / current / ledger)</t>
  </si>
  <si>
    <t>G7</t>
  </si>
  <si>
    <t>EBA / DORA outsourcing compliance</t>
  </si>
  <si>
    <t>Compliance with the EBA Guidelines on outsourcing arrangements and with DORA, with contractual audit and access rights for Scalapay and for Banca d’Italia.</t>
  </si>
  <si>
    <t>The outsourcing register information pack (Q7.3) and the contract clauses granting audit and access rights.</t>
  </si>
  <si>
    <t>Fail if audit rights are limited to third-party reports only, or if regulator access rights are excluded or qualified.</t>
  </si>
  <si>
    <t>Account debit instructions</t>
  </si>
  <si>
    <t>G8</t>
  </si>
  <si>
    <t>Exit and migration terms</t>
  </si>
  <si>
    <t>The contract commits to full data export in machine-readable formats, defined migration assistance with stated duration and pricing, and a stated maximum notice period.</t>
  </si>
  <si>
    <t>The exit schedule or contract terms (Q7.6); the description of a past client offboarding.</t>
  </si>
  <si>
    <t>Fail if any exit element is deferred to ‘be agreed at the time of exit’ or priced on an uncommitted basis.</t>
  </si>
  <si>
    <t>Standard SCT (send &amp; receive)</t>
  </si>
  <si>
    <t>G9</t>
  </si>
  <si>
    <t>Data ownership and unrestricted access</t>
  </si>
  <si>
    <t>The contract states that Scalapay owns all account, transaction, customer and operational data generated under the engagement, and can access and export it in full, in machine-readable formats, without restriction, additional licensing, tickets or per-extract fees.</t>
  </si>
  <si>
    <t>The contract clause; self-service data access demonstrated during the sandbox evaluation (Q7.10, Q7.11).</t>
  </si>
  <si>
    <t>Instant payments (SCT Inst)</t>
  </si>
  <si>
    <t>Exclusions limited to the provider’s proprietary model internals are acceptable if declared under Q7.9. Fail if access to Scalapay’s raw data is billable, ticketed, or contractually rate-limited.</t>
  </si>
  <si>
    <t>Written response; verified in sandbox; confirmed at contract mark-up.</t>
  </si>
  <si>
    <t>Verification of Payee (VOP)</t>
  </si>
  <si>
    <t>R-transactions: returns, recalls, rejects, investigations</t>
  </si>
  <si>
    <t>Weighted Scoring Summary</t>
  </si>
  <si>
    <t>Computed automatically from the section tabs and the Gates tab. Do not overwrite formula cells.</t>
  </si>
  <si>
    <t>Category</t>
  </si>
  <si>
    <t>Blocks, freezes, holds &amp; reserved balances</t>
  </si>
  <si>
    <t>Weight</t>
  </si>
  <si>
    <t>Avg Score (0–5)</t>
  </si>
  <si>
    <t>Weighted Contribution</t>
  </si>
  <si>
    <t>Primary Evidence</t>
  </si>
  <si>
    <t>Functional coverage, maturity &amp; configurability</t>
  </si>
  <si>
    <t>Beneficiary management &amp; payment limits</t>
  </si>
  <si>
    <t>Statements, transaction history &amp; fee postings</t>
  </si>
  <si>
    <t>SEPA Direct Debit &amp; mandate management</t>
  </si>
  <si>
    <t>Optional</t>
  </si>
  <si>
    <t>PSD2 SCA &amp; open-banking interface (TPP access)</t>
  </si>
  <si>
    <t>Capability Matrix; live client counts; configurability answers</t>
  </si>
  <si>
    <t>Fraud management</t>
  </si>
  <si>
    <t>API &amp; integration quality</t>
  </si>
  <si>
    <t>AML screening &amp; monitoring</t>
  </si>
  <si>
    <t>Specifications; sandbox verification</t>
  </si>
  <si>
    <t>Daily reconciliation (incl. BPO)</t>
  </si>
  <si>
    <t>Build-phase support model</t>
  </si>
  <si>
    <t>Accounting / GL outputs</t>
  </si>
  <si>
    <t>Contractual commitments; references</t>
  </si>
  <si>
    <t>Sandbox &amp; developer experience</t>
  </si>
  <si>
    <t>Regulatory reporting (SARA, Anagrafe, CRS/FATCA)</t>
  </si>
  <si>
    <t>Measured time to first call</t>
  </si>
  <si>
    <t>Documentation quality</t>
  </si>
  <si>
    <t>Safeguarding &amp; settlement arrangements</t>
  </si>
  <si>
    <t>48-hour unassisted exercise</t>
  </si>
  <si>
    <t>Steady-state SLAs &amp; support</t>
  </si>
  <si>
    <t>Complaints &amp; payment investigations</t>
  </si>
  <si>
    <t>SLA terms; 12-month incident history</t>
  </si>
  <si>
    <t>Resilience, security, compliance &amp; data access</t>
  </si>
  <si>
    <t>Card connection to account — debit</t>
  </si>
  <si>
    <t>Certifications; DR evidence; exit terms; data access demo</t>
  </si>
  <si>
    <t>Commercials &amp; TCO</t>
  </si>
  <si>
    <t>Card connection to account — credit</t>
  </si>
  <si>
    <t>Per-service pricing; volume scenarios</t>
  </si>
  <si>
    <t>TOTAL</t>
  </si>
  <si>
    <t>Credit integration — Option A (BNPL adaptation)</t>
  </si>
  <si>
    <t>Credit integration — Option B (integrated CMS)</t>
  </si>
  <si>
    <t>Pass/Fail Gate Status</t>
  </si>
  <si>
    <t>Gates passed</t>
  </si>
  <si>
    <t>Gates failed</t>
  </si>
  <si>
    <t>Gates pending</t>
  </si>
  <si>
    <t>Evaluation status</t>
  </si>
  <si>
    <t>Note: Tab 8 (Delivery, Team &amp; References) is unweighted; reference calls and the sandbox evaluation may adjust category scores by ±1 point where evidence contradicts the written response.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</si>
</sst>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1.0"/>
      <color theme="1"/>
      <name val="Calibri"/>
      <scheme val="minor"/>
    </font>
    <font>
      <b/>
      <sz val="14.0"/>
      <color rgb="FF1D1D1D"/>
      <name val="Poppins"/>
    </font>
    <font>
      <sz val="10.0"/>
      <color rgb="FF000000"/>
      <name val="Poppins"/>
    </font>
    <font>
      <b/>
      <sz val="11.0"/>
      <color rgb="FF1D1D1D"/>
      <name val="Poppins"/>
    </font>
    <font>
      <sz val="10.0"/>
      <color rgb="FF1D1D1D"/>
      <name val="Poppins"/>
    </font>
    <font>
      <b/>
      <sz val="9.0"/>
      <color rgb="FF1D1D1D"/>
      <name val="Poppins"/>
    </font>
    <font>
      <b/>
      <sz val="11.0"/>
      <color theme="1"/>
      <name val="Poppins"/>
    </font>
    <font/>
    <font>
      <sz val="9.0"/>
      <color rgb="FF000000"/>
      <name val="Poppins"/>
    </font>
    <font>
      <b/>
      <sz val="10.0"/>
      <color rgb="FFFFFFFF"/>
      <name val="Poppins"/>
    </font>
    <font>
      <color rgb="FF000000"/>
      <name val="Calibri"/>
      <scheme val="minor"/>
    </font>
    <font>
      <b/>
      <sz val="10.0"/>
      <color rgb="FF1D1D1D"/>
      <name val="Poppins"/>
    </font>
    <font>
      <sz val="10.0"/>
      <color theme="1"/>
      <name val="Poppins"/>
    </font>
    <font>
      <sz val="11.0"/>
      <color theme="1"/>
      <name val="Calibri"/>
    </font>
    <font>
      <sz val="9.0"/>
      <color theme="1"/>
      <name val="Poppins"/>
    </font>
    <font>
      <sz val="10.0"/>
      <color rgb="FF6B6B6B"/>
      <name val="Poppins"/>
    </font>
    <font>
      <i/>
      <sz val="9.0"/>
      <color rgb="FF6B6B6B"/>
      <name val="Poppins"/>
    </font>
    <font>
      <sz val="9.0"/>
      <color rgb="FF6B6B6B"/>
      <name val="Poppins"/>
    </font>
  </fonts>
  <fills count="8">
    <fill>
      <patternFill patternType="none"/>
    </fill>
    <fill>
      <patternFill patternType="lightGray"/>
    </fill>
    <fill>
      <patternFill patternType="solid">
        <fgColor rgb="FFF7CBCF"/>
        <bgColor rgb="FFF7CBCF"/>
      </patternFill>
    </fill>
    <fill>
      <patternFill patternType="solid">
        <fgColor rgb="FFF6B26B"/>
        <bgColor rgb="FFF6B26B"/>
      </patternFill>
    </fill>
    <fill>
      <patternFill patternType="solid">
        <fgColor rgb="FF1D1D1D"/>
        <bgColor rgb="FF1D1D1D"/>
      </patternFill>
    </fill>
    <fill>
      <patternFill patternType="solid">
        <fgColor rgb="FFFBE8E9"/>
        <bgColor rgb="FFFBE8E9"/>
      </patternFill>
    </fill>
    <fill>
      <patternFill patternType="solid">
        <fgColor rgb="FFF7F7F7"/>
        <bgColor rgb="FFF7F7F7"/>
      </patternFill>
    </fill>
    <fill>
      <patternFill patternType="solid">
        <fgColor rgb="FFECECEC"/>
        <bgColor rgb="FFECECEC"/>
      </patternFill>
    </fill>
  </fills>
  <borders count="6">
    <border/>
    <border>
      <left style="thin">
        <color rgb="FFD0D0D0"/>
      </left>
      <top style="thin">
        <color rgb="FFD0D0D0"/>
      </top>
      <bottom style="thin">
        <color rgb="FFD0D0D0"/>
      </bottom>
    </border>
    <border>
      <top style="thin">
        <color rgb="FFD0D0D0"/>
      </top>
      <bottom style="thin">
        <color rgb="FFD0D0D0"/>
      </bottom>
    </border>
    <border>
      <left style="thick">
        <color rgb="FFF7CBCF"/>
      </left>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1" fillId="2" fontId="5" numFmtId="0" xfId="0" applyAlignment="1" applyBorder="1" applyFill="1" applyFont="1">
      <alignment readingOrder="0" shrinkToFit="0" vertical="top" wrapText="1"/>
    </xf>
    <xf borderId="0" fillId="0" fontId="6" numFmtId="0" xfId="0" applyAlignment="1" applyFont="1">
      <alignment shrinkToFit="0" vertical="top" wrapText="1"/>
    </xf>
    <xf borderId="2" fillId="0" fontId="7" numFmtId="0" xfId="0" applyBorder="1" applyFont="1"/>
    <xf borderId="0" fillId="0" fontId="4" numFmtId="0" xfId="0" applyAlignment="1" applyFont="1">
      <alignment shrinkToFit="0" vertical="top" wrapText="1"/>
    </xf>
    <xf borderId="3" fillId="3" fontId="8" numFmtId="0" xfId="0" applyAlignment="1" applyBorder="1" applyFill="1" applyFont="1">
      <alignment readingOrder="0" shrinkToFit="0" vertical="top" wrapText="1"/>
    </xf>
    <xf borderId="4" fillId="0" fontId="7" numFmtId="0" xfId="0" applyBorder="1" applyFont="1"/>
    <xf borderId="0" fillId="0" fontId="4" numFmtId="0" xfId="0" applyAlignment="1" applyFont="1">
      <alignment horizontal="right" shrinkToFit="0" vertical="top" wrapText="0"/>
    </xf>
    <xf borderId="5" fillId="4" fontId="9" numFmtId="0" xfId="0" applyAlignment="1" applyBorder="1" applyFill="1" applyFont="1">
      <alignment horizontal="center" shrinkToFit="0" vertical="top" wrapText="1"/>
    </xf>
    <xf borderId="0" fillId="3" fontId="10" numFmtId="0" xfId="0" applyFont="1"/>
    <xf borderId="5" fillId="4" fontId="9" numFmtId="0" xfId="0" applyAlignment="1" applyBorder="1" applyFont="1">
      <alignment shrinkToFit="0" vertical="bottom" wrapText="0"/>
    </xf>
    <xf borderId="5" fillId="0" fontId="11" numFmtId="0" xfId="0" applyAlignment="1" applyBorder="1" applyFont="1">
      <alignment shrinkToFit="0" vertical="top" wrapText="1"/>
    </xf>
    <xf borderId="5" fillId="0" fontId="4" numFmtId="0" xfId="0" applyAlignment="1" applyBorder="1" applyFont="1">
      <alignment shrinkToFit="0" vertical="top" wrapText="1"/>
    </xf>
    <xf borderId="5" fillId="5" fontId="4" numFmtId="0" xfId="0" applyAlignment="1" applyBorder="1" applyFill="1" applyFont="1">
      <alignment shrinkToFit="0" vertical="top" wrapText="1"/>
    </xf>
    <xf borderId="5" fillId="6" fontId="4" numFmtId="0" xfId="0" applyAlignment="1" applyBorder="1" applyFill="1" applyFont="1">
      <alignment shrinkToFit="0" vertical="top" wrapText="1"/>
    </xf>
    <xf borderId="0" fillId="0" fontId="4" numFmtId="0" xfId="0" applyAlignment="1" applyFont="1">
      <alignment horizontal="right" readingOrder="0" shrinkToFit="0" vertical="top" wrapText="0"/>
    </xf>
    <xf borderId="5" fillId="7" fontId="4" numFmtId="0" xfId="0" applyAlignment="1" applyBorder="1" applyFill="1" applyFont="1">
      <alignment horizontal="center" shrinkToFit="0" vertical="top" wrapText="1"/>
    </xf>
    <xf borderId="5" fillId="7" fontId="4" numFmtId="0" xfId="0" applyAlignment="1" applyBorder="1" applyFont="1">
      <alignment shrinkToFit="0" vertical="top" wrapText="1"/>
    </xf>
    <xf borderId="5" fillId="6" fontId="11" numFmtId="0" xfId="0" applyAlignment="1" applyBorder="1" applyFont="1">
      <alignment shrinkToFit="0" vertical="top" wrapText="1"/>
    </xf>
    <xf borderId="0" fillId="0" fontId="12" numFmtId="0" xfId="0" applyAlignment="1" applyFont="1">
      <alignment horizontal="right" shrinkToFit="0" vertical="top" wrapText="0"/>
    </xf>
    <xf borderId="5" fillId="5" fontId="13" numFmtId="0" xfId="0" applyAlignment="1" applyBorder="1" applyFont="1">
      <alignment shrinkToFit="0" vertical="bottom" wrapText="0"/>
    </xf>
    <xf borderId="0" fillId="0" fontId="12" numFmtId="0" xfId="0" applyAlignment="1" applyFont="1">
      <alignment readingOrder="0" shrinkToFit="0" vertical="top" wrapText="1"/>
    </xf>
    <xf borderId="0" fillId="0" fontId="4" numFmtId="0" xfId="0" applyAlignment="1" applyFont="1">
      <alignment shrinkToFit="0" vertical="bottom" wrapText="0"/>
    </xf>
    <xf borderId="5" fillId="7" fontId="13" numFmtId="0" xfId="0" applyAlignment="1" applyBorder="1" applyFont="1">
      <alignment shrinkToFit="0" vertical="bottom" wrapText="0"/>
    </xf>
    <xf borderId="1" fillId="5" fontId="4" numFmtId="0" xfId="0" applyAlignment="1" applyBorder="1" applyFont="1">
      <alignment shrinkToFit="0" vertical="top" wrapText="1"/>
    </xf>
    <xf borderId="0" fillId="0" fontId="12" numFmtId="0" xfId="0" applyAlignment="1" applyFont="1">
      <alignment shrinkToFit="0" vertical="top" wrapText="1"/>
    </xf>
    <xf borderId="5" fillId="0" fontId="11" numFmtId="0" xfId="0" applyAlignment="1" applyBorder="1" applyFont="1">
      <alignment horizontal="center" shrinkToFit="0" vertical="bottom" wrapText="0"/>
    </xf>
    <xf borderId="1" fillId="0" fontId="4" numFmtId="0" xfId="0" applyAlignment="1" applyBorder="1" applyFont="1">
      <alignment shrinkToFit="0" vertical="top" wrapText="1"/>
    </xf>
    <xf borderId="0" fillId="0" fontId="3" numFmtId="0" xfId="0" applyAlignment="1" applyFont="1">
      <alignment readingOrder="0" shrinkToFit="0" vertical="top" wrapText="1"/>
    </xf>
    <xf borderId="0" fillId="0" fontId="10" numFmtId="0" xfId="0" applyFont="1"/>
    <xf borderId="3" fillId="3" fontId="14" numFmtId="0" xfId="0" applyAlignment="1" applyBorder="1" applyFont="1">
      <alignment shrinkToFit="0" vertical="top" wrapText="1"/>
    </xf>
    <xf borderId="3" fillId="3" fontId="13" numFmtId="0" xfId="0" applyAlignment="1" applyBorder="1" applyFont="1">
      <alignment vertical="top"/>
    </xf>
    <xf borderId="0" fillId="0" fontId="13" numFmtId="0" xfId="0" applyAlignment="1" applyFont="1">
      <alignment vertical="bottom"/>
    </xf>
    <xf borderId="3" fillId="3" fontId="14" numFmtId="0" xfId="0" applyAlignment="1" applyBorder="1" applyFont="1">
      <alignment readingOrder="0" shrinkToFit="0" vertical="top" wrapText="1"/>
    </xf>
    <xf borderId="1" fillId="2" fontId="5" numFmtId="0" xfId="0" applyAlignment="1" applyBorder="1" applyFont="1">
      <alignment shrinkToFit="0" vertical="top" wrapText="1"/>
    </xf>
    <xf borderId="0" fillId="0" fontId="1" numFmtId="0" xfId="0" applyAlignment="1" applyFont="1">
      <alignment shrinkToFit="0" vertical="bottom" wrapText="0"/>
    </xf>
    <xf borderId="0" fillId="0" fontId="15" numFmtId="0" xfId="0" applyAlignment="1" applyFont="1">
      <alignment shrinkToFit="0" vertical="top" wrapText="1"/>
    </xf>
    <xf borderId="0" fillId="0" fontId="16" numFmtId="0" xfId="0" applyAlignment="1" applyFont="1">
      <alignment shrinkToFit="0" vertical="bottom" wrapText="0"/>
    </xf>
    <xf borderId="5" fillId="0" fontId="11" numFmtId="9" xfId="0" applyAlignment="1" applyBorder="1" applyFont="1" applyNumberFormat="1">
      <alignment shrinkToFit="0" vertical="top" wrapText="1"/>
    </xf>
    <xf borderId="5" fillId="0" fontId="4" numFmtId="2" xfId="0" applyAlignment="1" applyBorder="1" applyFont="1" applyNumberFormat="1">
      <alignment shrinkToFit="0" vertical="top" wrapText="1"/>
    </xf>
    <xf borderId="5" fillId="0" fontId="4" numFmtId="164" xfId="0" applyAlignment="1" applyBorder="1" applyFont="1" applyNumberFormat="1">
      <alignment shrinkToFit="0" vertical="top" wrapText="1"/>
    </xf>
    <xf borderId="5" fillId="0" fontId="17" numFmtId="0" xfId="0" applyAlignment="1" applyBorder="1" applyFont="1">
      <alignment shrinkToFit="0" vertical="top" wrapText="1"/>
    </xf>
    <xf borderId="5" fillId="6" fontId="11" numFmtId="9" xfId="0" applyAlignment="1" applyBorder="1" applyFont="1" applyNumberFormat="1">
      <alignment shrinkToFit="0" vertical="top" wrapText="1"/>
    </xf>
    <xf borderId="5" fillId="6" fontId="4" numFmtId="2" xfId="0" applyAlignment="1" applyBorder="1" applyFont="1" applyNumberFormat="1">
      <alignment shrinkToFit="0" vertical="top" wrapText="1"/>
    </xf>
    <xf borderId="5" fillId="6" fontId="4" numFmtId="164" xfId="0" applyAlignment="1" applyBorder="1" applyFont="1" applyNumberFormat="1">
      <alignment shrinkToFit="0" vertical="top" wrapText="1"/>
    </xf>
    <xf borderId="5" fillId="6" fontId="17" numFmtId="0" xfId="0" applyAlignment="1" applyBorder="1" applyFont="1">
      <alignment shrinkToFit="0" vertical="top" wrapText="1"/>
    </xf>
    <xf borderId="5" fillId="5" fontId="11" numFmtId="0" xfId="0" applyAlignment="1" applyBorder="1" applyFont="1">
      <alignment shrinkToFit="0" vertical="bottom" wrapText="0"/>
    </xf>
    <xf borderId="5" fillId="5" fontId="11" numFmtId="9" xfId="0" applyAlignment="1" applyBorder="1" applyFont="1" applyNumberFormat="1">
      <alignment shrinkToFit="0" vertical="bottom" wrapText="0"/>
    </xf>
    <xf borderId="5" fillId="5" fontId="11" numFmtId="164" xfId="0" applyAlignment="1" applyBorder="1" applyFont="1" applyNumberFormat="1">
      <alignment shrinkToFit="0" vertical="bottom" wrapText="0"/>
    </xf>
    <xf borderId="0" fillId="0" fontId="11" numFmtId="0" xfId="0" applyAlignment="1" applyFont="1">
      <alignment shrinkToFit="0" vertical="bottom" wrapText="0"/>
    </xf>
    <xf borderId="5" fillId="0" fontId="4" numFmtId="0" xfId="0" applyAlignment="1" applyBorder="1" applyFont="1">
      <alignment shrinkToFit="0" vertical="bottom" wrapText="0"/>
    </xf>
    <xf borderId="5" fillId="0" fontId="11"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20.0"/>
    <col customWidth="1" min="3" max="3" width="12.0"/>
    <col customWidth="1" min="4" max="4" width="100.43"/>
    <col customWidth="1" min="5" max="26" width="8.71"/>
  </cols>
  <sheetData>
    <row r="1" ht="24.0" customHeight="1">
      <c r="A1" s="2" t="s">
        <v>1</v>
      </c>
    </row>
    <row r="3" ht="19.5" customHeight="1">
      <c r="A3" s="4" t="s">
        <v>4</v>
      </c>
    </row>
    <row r="4">
      <c r="A4" s="6" t="s">
        <v>8</v>
      </c>
    </row>
    <row r="6" ht="19.5" customHeight="1">
      <c r="A6" s="4" t="s">
        <v>10</v>
      </c>
    </row>
    <row r="7" ht="27.75" customHeight="1">
      <c r="A7" s="10" t="s">
        <v>13</v>
      </c>
    </row>
    <row r="8" ht="27.75" customHeight="1">
      <c r="A8" s="10" t="s">
        <v>15</v>
      </c>
    </row>
    <row r="9" ht="18.0" customHeight="1">
      <c r="A9" s="10" t="s">
        <v>16</v>
      </c>
    </row>
    <row r="10" ht="27.75" customHeight="1">
      <c r="A10" s="10" t="s">
        <v>17</v>
      </c>
    </row>
    <row r="11" ht="18.0" customHeight="1">
      <c r="A11" s="10" t="s">
        <v>18</v>
      </c>
    </row>
    <row r="12" ht="18.0" customHeight="1">
      <c r="A12" s="10" t="s">
        <v>21</v>
      </c>
    </row>
    <row r="13" ht="18.0" customHeight="1">
      <c r="A13" s="10" t="s">
        <v>22</v>
      </c>
    </row>
    <row r="14" ht="18.0" customHeight="1">
      <c r="A14" s="10" t="s">
        <v>24</v>
      </c>
    </row>
    <row r="16" ht="19.5" customHeight="1">
      <c r="A16" s="4" t="s">
        <v>27</v>
      </c>
    </row>
    <row r="17">
      <c r="A17" s="16" t="s">
        <v>30</v>
      </c>
      <c r="B17" s="16" t="s">
        <v>34</v>
      </c>
      <c r="C17" s="16" t="s">
        <v>36</v>
      </c>
      <c r="D17" s="16" t="s">
        <v>39</v>
      </c>
    </row>
    <row r="18" ht="15.0" customHeight="1">
      <c r="A18" s="18" t="s">
        <v>42</v>
      </c>
      <c r="B18" s="18" t="s">
        <v>43</v>
      </c>
      <c r="C18" s="19" t="s">
        <v>44</v>
      </c>
      <c r="D18" s="18" t="s">
        <v>45</v>
      </c>
    </row>
    <row r="19" ht="27.75" customHeight="1">
      <c r="A19" s="20" t="s">
        <v>46</v>
      </c>
      <c r="B19" s="20" t="s">
        <v>48</v>
      </c>
      <c r="C19" s="19" t="s">
        <v>44</v>
      </c>
      <c r="D19" s="20" t="s">
        <v>50</v>
      </c>
    </row>
    <row r="20" ht="15.0" customHeight="1">
      <c r="A20" s="18" t="s">
        <v>52</v>
      </c>
      <c r="B20" s="18" t="s">
        <v>48</v>
      </c>
      <c r="C20" s="19" t="s">
        <v>44</v>
      </c>
      <c r="D20" s="18" t="s">
        <v>54</v>
      </c>
    </row>
    <row r="21" ht="15.0" customHeight="1">
      <c r="A21" s="20" t="s">
        <v>56</v>
      </c>
      <c r="B21" s="20" t="s">
        <v>57</v>
      </c>
      <c r="C21" s="19" t="s">
        <v>44</v>
      </c>
      <c r="D21" s="20" t="s">
        <v>59</v>
      </c>
    </row>
    <row r="22" ht="27.75" customHeight="1">
      <c r="A22" s="18" t="s">
        <v>60</v>
      </c>
      <c r="B22" s="18" t="s">
        <v>62</v>
      </c>
      <c r="C22" s="19" t="s">
        <v>44</v>
      </c>
      <c r="D22" s="18" t="s">
        <v>65</v>
      </c>
    </row>
    <row r="23" ht="15.0" customHeight="1">
      <c r="A23" s="20" t="s">
        <v>67</v>
      </c>
      <c r="B23" s="20" t="s">
        <v>43</v>
      </c>
      <c r="C23" s="19" t="s">
        <v>44</v>
      </c>
      <c r="D23" s="20" t="s">
        <v>70</v>
      </c>
    </row>
    <row r="24" ht="15.0" customHeight="1">
      <c r="A24" s="18" t="s">
        <v>72</v>
      </c>
      <c r="B24" s="18" t="s">
        <v>43</v>
      </c>
      <c r="C24" s="19" t="s">
        <v>44</v>
      </c>
      <c r="D24" s="18" t="s">
        <v>74</v>
      </c>
    </row>
    <row r="25" ht="15.75" customHeight="1"/>
    <row r="26" ht="19.5" customHeight="1">
      <c r="A26" s="4" t="s">
        <v>75</v>
      </c>
    </row>
    <row r="27" ht="52.5" customHeight="1">
      <c r="A27" s="10" t="s">
        <v>77</v>
      </c>
    </row>
    <row r="28" ht="15.75" customHeight="1">
      <c r="A28" s="26"/>
      <c r="B28" s="28" t="s">
        <v>81</v>
      </c>
    </row>
    <row r="29" ht="15.75" customHeight="1">
      <c r="A29" s="29"/>
      <c r="B29" s="28" t="s">
        <v>83</v>
      </c>
    </row>
    <row r="30" ht="15.75" customHeight="1"/>
    <row r="31" ht="19.5" customHeight="1">
      <c r="A31" s="4" t="s">
        <v>85</v>
      </c>
    </row>
    <row r="32" ht="15.0" customHeight="1">
      <c r="A32" s="17" t="s">
        <v>19</v>
      </c>
      <c r="B32" s="30" t="s">
        <v>86</v>
      </c>
      <c r="C32" s="9"/>
      <c r="D32" s="12"/>
    </row>
    <row r="33" ht="15.0" customHeight="1">
      <c r="A33" s="17" t="s">
        <v>26</v>
      </c>
      <c r="B33" s="30" t="s">
        <v>93</v>
      </c>
      <c r="C33" s="9"/>
      <c r="D33" s="12"/>
    </row>
    <row r="34" ht="15.0" customHeight="1">
      <c r="A34" s="17" t="s">
        <v>28</v>
      </c>
      <c r="B34" s="30" t="s">
        <v>96</v>
      </c>
      <c r="C34" s="9"/>
      <c r="D34" s="12"/>
    </row>
    <row r="35" ht="15.0" customHeight="1">
      <c r="A35" s="17" t="s">
        <v>31</v>
      </c>
      <c r="B35" s="30" t="s">
        <v>102</v>
      </c>
      <c r="C35" s="9"/>
      <c r="D35" s="12"/>
    </row>
    <row r="36" ht="15.75" customHeight="1"/>
    <row r="37" ht="19.5" customHeight="1">
      <c r="A37" s="4" t="s">
        <v>106</v>
      </c>
    </row>
    <row r="38" ht="15.0" customHeight="1">
      <c r="A38" s="32" t="s">
        <v>109</v>
      </c>
      <c r="B38" s="33" t="s">
        <v>111</v>
      </c>
      <c r="C38" s="9"/>
      <c r="D38" s="12"/>
    </row>
    <row r="39" ht="15.0" customHeight="1">
      <c r="A39" s="32" t="s">
        <v>114</v>
      </c>
      <c r="B39" s="33" t="s">
        <v>118</v>
      </c>
      <c r="C39" s="9"/>
      <c r="D39" s="12"/>
    </row>
    <row r="40" ht="15.0" customHeight="1">
      <c r="A40" s="32" t="s">
        <v>121</v>
      </c>
      <c r="B40" s="33" t="s">
        <v>122</v>
      </c>
      <c r="C40" s="9"/>
      <c r="D40" s="12"/>
    </row>
    <row r="41" ht="15.0" customHeight="1">
      <c r="A41" s="32" t="s">
        <v>125</v>
      </c>
      <c r="B41" s="33" t="s">
        <v>126</v>
      </c>
      <c r="C41" s="9"/>
      <c r="D41" s="12"/>
    </row>
    <row r="42" ht="15.0" customHeight="1">
      <c r="A42" s="32" t="s">
        <v>133</v>
      </c>
      <c r="B42" s="33" t="s">
        <v>135</v>
      </c>
      <c r="C42" s="9"/>
      <c r="D42" s="12"/>
    </row>
    <row r="43" ht="15.0" customHeight="1">
      <c r="A43" s="32" t="s">
        <v>140</v>
      </c>
      <c r="B43" s="33" t="s">
        <v>142</v>
      </c>
      <c r="C43" s="9"/>
      <c r="D43" s="12"/>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9">
    <mergeCell ref="A1:D1"/>
    <mergeCell ref="A3:D3"/>
    <mergeCell ref="A4:D4"/>
    <mergeCell ref="A6:D6"/>
    <mergeCell ref="A7:D7"/>
    <mergeCell ref="A8:D8"/>
    <mergeCell ref="A9:D9"/>
    <mergeCell ref="A10:D10"/>
    <mergeCell ref="A11:D11"/>
    <mergeCell ref="A12:D12"/>
    <mergeCell ref="A13:D13"/>
    <mergeCell ref="A14:D14"/>
    <mergeCell ref="A16:D16"/>
    <mergeCell ref="A26:D26"/>
    <mergeCell ref="B35:D35"/>
    <mergeCell ref="A37:D37"/>
    <mergeCell ref="B38:D38"/>
    <mergeCell ref="B39:D39"/>
    <mergeCell ref="B40:D40"/>
    <mergeCell ref="B41:D41"/>
    <mergeCell ref="B42:D42"/>
    <mergeCell ref="B43:D43"/>
    <mergeCell ref="A27:D27"/>
    <mergeCell ref="B28:D28"/>
    <mergeCell ref="B29:D29"/>
    <mergeCell ref="A31:D31"/>
    <mergeCell ref="B32:D32"/>
    <mergeCell ref="B33:D33"/>
    <mergeCell ref="B34:D3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14"/>
    <col customWidth="1" min="2" max="2" width="72.0"/>
    <col customWidth="1" min="3" max="3" width="58.0"/>
    <col customWidth="1" min="4" max="4" width="22.0"/>
    <col customWidth="1" min="5" max="5" width="28.0"/>
    <col customWidth="1" min="6" max="6" width="10.0"/>
    <col customWidth="1" min="7" max="7" width="0.43"/>
    <col customWidth="1" min="8" max="26" width="8.71"/>
  </cols>
  <sheetData>
    <row r="1" ht="24.0" customHeight="1">
      <c r="A1" s="1" t="s">
        <v>3</v>
      </c>
    </row>
    <row r="2">
      <c r="A2" s="5" t="s">
        <v>7</v>
      </c>
    </row>
    <row r="4" ht="19.5" customHeight="1">
      <c r="A4" s="8" t="s">
        <v>11</v>
      </c>
    </row>
    <row r="5" ht="15.0" customHeight="1">
      <c r="A5" s="13" t="s">
        <v>14</v>
      </c>
      <c r="B5" s="10" t="s">
        <v>20</v>
      </c>
    </row>
    <row r="6" ht="15.0" customHeight="1">
      <c r="A6" s="13" t="s">
        <v>14</v>
      </c>
      <c r="B6" s="6" t="s">
        <v>25</v>
      </c>
    </row>
    <row r="7" ht="15.0" customHeight="1">
      <c r="A7" s="13" t="s">
        <v>14</v>
      </c>
      <c r="B7" s="10" t="s">
        <v>29</v>
      </c>
    </row>
    <row r="8" ht="15.0" customHeight="1">
      <c r="A8" s="13" t="s">
        <v>14</v>
      </c>
      <c r="B8" s="10" t="s">
        <v>33</v>
      </c>
    </row>
    <row r="9" ht="15.0" customHeight="1">
      <c r="A9" s="13" t="s">
        <v>14</v>
      </c>
      <c r="B9" s="10" t="s">
        <v>37</v>
      </c>
    </row>
    <row r="10" ht="15.0" customHeight="1">
      <c r="A10" s="13" t="s">
        <v>14</v>
      </c>
      <c r="B10" s="6" t="s">
        <v>40</v>
      </c>
      <c r="C10" s="6"/>
      <c r="D10" s="6"/>
      <c r="E10" s="6"/>
      <c r="F10" s="6"/>
      <c r="G10" s="6"/>
    </row>
    <row r="11" ht="15.0" customHeight="1">
      <c r="A11" s="13" t="s">
        <v>14</v>
      </c>
      <c r="B11" s="6" t="s">
        <v>47</v>
      </c>
    </row>
    <row r="12" ht="15.0" customHeight="1">
      <c r="A12" s="13" t="s">
        <v>14</v>
      </c>
      <c r="B12" s="6" t="s">
        <v>49</v>
      </c>
    </row>
    <row r="13" ht="15.0" customHeight="1">
      <c r="A13" s="13" t="s">
        <v>14</v>
      </c>
      <c r="B13" s="10" t="s">
        <v>51</v>
      </c>
    </row>
    <row r="14" ht="15.0" customHeight="1">
      <c r="A14" s="13" t="s">
        <v>14</v>
      </c>
      <c r="B14" s="10" t="s">
        <v>53</v>
      </c>
    </row>
    <row r="15" ht="15.0" customHeight="1">
      <c r="A15" s="13" t="s">
        <v>14</v>
      </c>
      <c r="B15" s="6" t="s">
        <v>55</v>
      </c>
    </row>
    <row r="16" ht="15.0" customHeight="1">
      <c r="A16" s="21" t="s">
        <v>14</v>
      </c>
      <c r="B16" s="6" t="s">
        <v>58</v>
      </c>
    </row>
    <row r="17" ht="15.0" customHeight="1">
      <c r="A17" s="13" t="s">
        <v>14</v>
      </c>
      <c r="B17" s="6" t="s">
        <v>61</v>
      </c>
    </row>
    <row r="18" ht="15.0" customHeight="1">
      <c r="A18" s="21" t="s">
        <v>64</v>
      </c>
      <c r="B18" s="6" t="s">
        <v>66</v>
      </c>
      <c r="C18" s="6"/>
      <c r="D18" s="6"/>
      <c r="E18" s="6"/>
      <c r="F18" s="6"/>
      <c r="G18" s="6"/>
    </row>
    <row r="19" ht="15.0" customHeight="1">
      <c r="A19" s="13" t="s">
        <v>14</v>
      </c>
      <c r="B19" s="6" t="s">
        <v>71</v>
      </c>
      <c r="C19" s="6"/>
      <c r="D19" s="6"/>
      <c r="E19" s="6"/>
      <c r="F19" s="6"/>
      <c r="G19" s="6"/>
    </row>
    <row r="20" ht="15.0" customHeight="1">
      <c r="A20" s="21" t="s">
        <v>64</v>
      </c>
      <c r="B20" s="6" t="s">
        <v>76</v>
      </c>
    </row>
    <row r="21" ht="15.0" customHeight="1">
      <c r="A21" s="25" t="s">
        <v>14</v>
      </c>
      <c r="B21" s="27" t="s">
        <v>80</v>
      </c>
    </row>
    <row r="22" ht="15.0" customHeight="1">
      <c r="A22" s="25" t="s">
        <v>14</v>
      </c>
      <c r="B22" s="27" t="s">
        <v>82</v>
      </c>
    </row>
    <row r="23" ht="15.0" customHeight="1">
      <c r="A23" s="25" t="s">
        <v>14</v>
      </c>
      <c r="B23" s="27" t="s">
        <v>84</v>
      </c>
    </row>
    <row r="24" ht="15.0" customHeight="1">
      <c r="A24" s="25" t="s">
        <v>14</v>
      </c>
      <c r="B24" s="27" t="s">
        <v>87</v>
      </c>
    </row>
    <row r="25" ht="19.5" customHeight="1">
      <c r="A25" s="8" t="s">
        <v>90</v>
      </c>
    </row>
    <row r="26" ht="15.0" customHeight="1">
      <c r="A26" s="25" t="s">
        <v>14</v>
      </c>
      <c r="B26" s="27" t="s">
        <v>91</v>
      </c>
      <c r="C26" s="31"/>
      <c r="D26" s="31"/>
      <c r="E26" s="31"/>
      <c r="F26" s="31"/>
      <c r="G26" s="31"/>
    </row>
    <row r="27" ht="15.0" customHeight="1">
      <c r="A27" s="25" t="s">
        <v>14</v>
      </c>
      <c r="B27" s="31" t="s">
        <v>95</v>
      </c>
    </row>
    <row r="28" ht="15.0" customHeight="1">
      <c r="A28" s="25" t="s">
        <v>14</v>
      </c>
      <c r="B28" s="27" t="s">
        <v>98</v>
      </c>
    </row>
    <row r="29" ht="15.0" customHeight="1">
      <c r="A29" s="25" t="s">
        <v>14</v>
      </c>
      <c r="B29" s="31" t="s">
        <v>99</v>
      </c>
    </row>
    <row r="30" ht="15.0" customHeight="1">
      <c r="A30" s="25" t="s">
        <v>14</v>
      </c>
      <c r="B30" s="27" t="s">
        <v>103</v>
      </c>
    </row>
    <row r="31" ht="15.0" customHeight="1">
      <c r="A31" s="25" t="s">
        <v>14</v>
      </c>
      <c r="B31" s="31" t="s">
        <v>104</v>
      </c>
    </row>
    <row r="32" ht="15.0" customHeight="1">
      <c r="A32" s="25" t="s">
        <v>14</v>
      </c>
      <c r="B32" s="31" t="s">
        <v>107</v>
      </c>
    </row>
    <row r="33" ht="19.5" customHeight="1">
      <c r="A33" s="4" t="s">
        <v>110</v>
      </c>
    </row>
    <row r="34" ht="15.0" customHeight="1">
      <c r="A34" s="13" t="s">
        <v>14</v>
      </c>
      <c r="B34" s="6" t="s">
        <v>113</v>
      </c>
    </row>
    <row r="35" ht="19.5" customHeight="1">
      <c r="A35" s="4" t="s">
        <v>116</v>
      </c>
    </row>
    <row r="36" ht="39.75" customHeight="1">
      <c r="A36" s="13" t="s">
        <v>14</v>
      </c>
      <c r="B36" s="6" t="s">
        <v>120</v>
      </c>
    </row>
    <row r="37" ht="39.75" customHeight="1">
      <c r="A37" s="13" t="s">
        <v>14</v>
      </c>
      <c r="B37" s="6" t="s">
        <v>123</v>
      </c>
    </row>
    <row r="38" ht="39.75" customHeight="1">
      <c r="A38" s="10" t="s">
        <v>124</v>
      </c>
    </row>
    <row r="39" ht="39.75" customHeight="1">
      <c r="A39" s="13" t="s">
        <v>14</v>
      </c>
      <c r="B39" s="10" t="s">
        <v>129</v>
      </c>
    </row>
    <row r="40" ht="39.75" customHeight="1">
      <c r="A40" s="13" t="s">
        <v>14</v>
      </c>
      <c r="B40" s="10" t="s">
        <v>132</v>
      </c>
    </row>
    <row r="41" ht="19.5" customHeight="1">
      <c r="A41" s="4" t="s">
        <v>134</v>
      </c>
    </row>
    <row r="42" ht="27.75" customHeight="1">
      <c r="A42" s="10" t="s">
        <v>137</v>
      </c>
    </row>
    <row r="43" ht="19.5" customHeight="1">
      <c r="A43" s="4" t="s">
        <v>139</v>
      </c>
    </row>
    <row r="44">
      <c r="A44" s="10" t="s">
        <v>141</v>
      </c>
    </row>
    <row r="45" ht="19.5" customHeight="1">
      <c r="A45" s="34" t="s">
        <v>143</v>
      </c>
    </row>
    <row r="46">
      <c r="A46" s="6" t="s">
        <v>146</v>
      </c>
    </row>
    <row r="47" ht="15.75" customHeight="1"/>
    <row r="48" ht="19.5" customHeight="1">
      <c r="A48" s="4" t="s">
        <v>149</v>
      </c>
    </row>
    <row r="49">
      <c r="A49" s="7" t="s">
        <v>9</v>
      </c>
      <c r="B49" s="9"/>
      <c r="C49" s="9"/>
      <c r="D49" s="9"/>
      <c r="E49" s="9"/>
      <c r="F49" s="9"/>
      <c r="G49" s="12"/>
    </row>
    <row r="50" ht="15.75" customHeight="1">
      <c r="A50" s="14" t="s">
        <v>19</v>
      </c>
      <c r="B50" s="14" t="s">
        <v>23</v>
      </c>
      <c r="C50" s="14" t="s">
        <v>26</v>
      </c>
      <c r="D50" s="14" t="s">
        <v>28</v>
      </c>
      <c r="E50" s="14" t="s">
        <v>31</v>
      </c>
      <c r="F50" s="14" t="s">
        <v>32</v>
      </c>
      <c r="G50" s="14" t="s">
        <v>35</v>
      </c>
    </row>
    <row r="51" ht="40.5" customHeight="1">
      <c r="A51" s="17" t="s">
        <v>159</v>
      </c>
      <c r="B51" s="18" t="s">
        <v>161</v>
      </c>
      <c r="C51" s="19"/>
      <c r="D51" s="19"/>
      <c r="E51" s="19"/>
      <c r="F51" s="22"/>
      <c r="G51" s="23"/>
    </row>
    <row r="52" ht="40.5" customHeight="1">
      <c r="A52" s="24" t="s">
        <v>166</v>
      </c>
      <c r="B52" s="20" t="s">
        <v>167</v>
      </c>
      <c r="C52" s="19"/>
      <c r="D52" s="19"/>
      <c r="E52" s="19"/>
      <c r="F52" s="22"/>
      <c r="G52" s="23"/>
    </row>
    <row r="53" ht="40.5" customHeight="1">
      <c r="A53" s="17" t="s">
        <v>168</v>
      </c>
      <c r="B53" s="18" t="s">
        <v>169</v>
      </c>
      <c r="C53" s="19"/>
      <c r="D53" s="19"/>
      <c r="E53" s="19"/>
      <c r="F53" s="22"/>
      <c r="G53" s="23"/>
    </row>
    <row r="54" ht="27.75" customHeight="1">
      <c r="A54" s="24" t="s">
        <v>170</v>
      </c>
      <c r="B54" s="20" t="s">
        <v>171</v>
      </c>
      <c r="C54" s="19"/>
      <c r="D54" s="19"/>
      <c r="E54" s="19"/>
      <c r="F54" s="22"/>
      <c r="G54" s="23"/>
    </row>
    <row r="55" ht="78.0" customHeight="1">
      <c r="A55" s="17" t="s">
        <v>172</v>
      </c>
      <c r="B55" s="18" t="s">
        <v>173</v>
      </c>
      <c r="C55" s="19"/>
      <c r="D55" s="19"/>
      <c r="E55" s="19"/>
      <c r="F55" s="22"/>
      <c r="G55" s="23"/>
    </row>
    <row r="56" ht="78.0" customHeight="1">
      <c r="A56" s="24" t="s">
        <v>174</v>
      </c>
      <c r="B56" s="20" t="s">
        <v>175</v>
      </c>
      <c r="C56" s="19"/>
      <c r="D56" s="19"/>
      <c r="E56" s="19"/>
      <c r="F56" s="22"/>
      <c r="G56" s="23"/>
    </row>
    <row r="57" ht="52.5" customHeight="1">
      <c r="A57" s="17" t="s">
        <v>176</v>
      </c>
      <c r="B57" s="18" t="s">
        <v>177</v>
      </c>
      <c r="C57" s="19"/>
      <c r="D57" s="19"/>
      <c r="E57" s="19"/>
      <c r="F57" s="22"/>
      <c r="G57" s="23"/>
    </row>
    <row r="58" ht="52.5" customHeight="1">
      <c r="A58" s="24" t="s">
        <v>178</v>
      </c>
      <c r="B58" s="20" t="s">
        <v>179</v>
      </c>
      <c r="C58" s="19"/>
      <c r="D58" s="19"/>
      <c r="E58" s="19"/>
      <c r="F58" s="22"/>
      <c r="G58" s="23"/>
    </row>
    <row r="59" ht="115.5" customHeight="1">
      <c r="A59" s="17" t="s">
        <v>180</v>
      </c>
      <c r="B59" s="18" t="s">
        <v>181</v>
      </c>
      <c r="C59" s="19"/>
      <c r="D59" s="19"/>
      <c r="E59" s="19"/>
      <c r="F59" s="22"/>
      <c r="G59" s="23"/>
    </row>
    <row r="60" ht="65.25" customHeight="1">
      <c r="A60" s="24" t="s">
        <v>182</v>
      </c>
      <c r="B60" s="20" t="s">
        <v>183</v>
      </c>
      <c r="C60" s="19"/>
      <c r="D60" s="19"/>
      <c r="E60" s="19"/>
      <c r="F60" s="22"/>
      <c r="G60" s="23"/>
    </row>
    <row r="61" ht="65.25" customHeight="1">
      <c r="A61" s="17" t="s">
        <v>184</v>
      </c>
      <c r="B61" s="18" t="s">
        <v>185</v>
      </c>
      <c r="C61" s="19"/>
      <c r="D61" s="19"/>
      <c r="E61" s="19"/>
      <c r="F61" s="22"/>
      <c r="G61" s="23"/>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43">
    <mergeCell ref="A1:G1"/>
    <mergeCell ref="A2:G2"/>
    <mergeCell ref="A4:G4"/>
    <mergeCell ref="B5:G5"/>
    <mergeCell ref="B6:G6"/>
    <mergeCell ref="B7:G7"/>
    <mergeCell ref="B8:G8"/>
    <mergeCell ref="B9:G9"/>
    <mergeCell ref="B11:G11"/>
    <mergeCell ref="B12:G12"/>
    <mergeCell ref="B13:G13"/>
    <mergeCell ref="B14:G14"/>
    <mergeCell ref="B15:G15"/>
    <mergeCell ref="B16:G16"/>
    <mergeCell ref="B17:G17"/>
    <mergeCell ref="B20:G20"/>
    <mergeCell ref="B21:G21"/>
    <mergeCell ref="B22:G22"/>
    <mergeCell ref="B23:G23"/>
    <mergeCell ref="B24:G24"/>
    <mergeCell ref="A25:G25"/>
    <mergeCell ref="B27:G27"/>
    <mergeCell ref="B28:G28"/>
    <mergeCell ref="B29:G29"/>
    <mergeCell ref="B30:G30"/>
    <mergeCell ref="B31:G31"/>
    <mergeCell ref="B32:G32"/>
    <mergeCell ref="A33:G33"/>
    <mergeCell ref="A41:G41"/>
    <mergeCell ref="A42:G42"/>
    <mergeCell ref="A43:G43"/>
    <mergeCell ref="A44:G44"/>
    <mergeCell ref="A45:G45"/>
    <mergeCell ref="A46:G46"/>
    <mergeCell ref="A48:G48"/>
    <mergeCell ref="A49:G49"/>
    <mergeCell ref="B34:G34"/>
    <mergeCell ref="A35:G35"/>
    <mergeCell ref="B36:G36"/>
    <mergeCell ref="B37:G37"/>
    <mergeCell ref="A38:G38"/>
    <mergeCell ref="B39:G39"/>
    <mergeCell ref="B40:G40"/>
  </mergeCells>
  <dataValidations>
    <dataValidation type="list" allowBlank="1" sqref="F51:F61">
      <formula1>"0,1,2,3,4,5"</formula1>
    </dataValidation>
    <dataValidation type="list" allowBlank="1" sqref="D51:D61">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72.0"/>
    <col customWidth="1" min="3" max="3" width="58.0"/>
    <col customWidth="1" min="4" max="4" width="22.0"/>
    <col customWidth="1" min="5" max="5" width="28.0"/>
    <col customWidth="1" min="6" max="6" width="10.0"/>
    <col customWidth="1" min="7" max="7" width="36.0"/>
    <col customWidth="1" min="8" max="26" width="8.71"/>
  </cols>
  <sheetData>
    <row r="1" ht="24.0" customHeight="1">
      <c r="A1" s="1" t="s">
        <v>0</v>
      </c>
    </row>
    <row r="2" ht="18.0" customHeight="1">
      <c r="A2" s="3" t="s">
        <v>2</v>
      </c>
    </row>
    <row r="4">
      <c r="A4" s="7" t="s">
        <v>9</v>
      </c>
      <c r="B4" s="9"/>
      <c r="C4" s="9"/>
      <c r="D4" s="9"/>
      <c r="E4" s="9"/>
      <c r="F4" s="9"/>
      <c r="G4" s="12"/>
    </row>
    <row r="5">
      <c r="A5" s="14" t="s">
        <v>19</v>
      </c>
      <c r="B5" s="14" t="s">
        <v>23</v>
      </c>
      <c r="C5" s="14" t="s">
        <v>26</v>
      </c>
      <c r="D5" s="14" t="s">
        <v>28</v>
      </c>
      <c r="E5" s="14" t="s">
        <v>31</v>
      </c>
      <c r="F5" s="14" t="s">
        <v>32</v>
      </c>
      <c r="G5" s="14" t="s">
        <v>35</v>
      </c>
    </row>
    <row r="6" ht="40.5" customHeight="1">
      <c r="A6" s="17" t="s">
        <v>38</v>
      </c>
      <c r="B6" s="18" t="s">
        <v>41</v>
      </c>
      <c r="C6" s="19"/>
      <c r="D6" s="19"/>
      <c r="E6" s="19"/>
      <c r="F6" s="22"/>
      <c r="G6" s="23"/>
    </row>
    <row r="7" ht="40.5" customHeight="1">
      <c r="A7" s="24" t="s">
        <v>63</v>
      </c>
      <c r="B7" s="20" t="s">
        <v>68</v>
      </c>
      <c r="C7" s="19"/>
      <c r="D7" s="19"/>
      <c r="E7" s="19"/>
      <c r="F7" s="22"/>
      <c r="G7" s="23"/>
    </row>
    <row r="8" ht="65.25" customHeight="1">
      <c r="A8" s="17" t="s">
        <v>78</v>
      </c>
      <c r="B8" s="18" t="s">
        <v>79</v>
      </c>
      <c r="C8" s="19"/>
      <c r="D8" s="19"/>
      <c r="E8" s="19"/>
      <c r="F8" s="22"/>
      <c r="G8" s="23"/>
    </row>
    <row r="9" ht="27.75" customHeight="1">
      <c r="A9" s="24" t="s">
        <v>86</v>
      </c>
      <c r="B9" s="20" t="s">
        <v>88</v>
      </c>
      <c r="C9" s="19"/>
      <c r="D9" s="19"/>
      <c r="E9" s="19"/>
      <c r="F9" s="22"/>
      <c r="G9" s="23"/>
    </row>
    <row r="10" ht="40.5" customHeight="1">
      <c r="A10" s="17" t="s">
        <v>94</v>
      </c>
      <c r="B10" s="18" t="s">
        <v>97</v>
      </c>
      <c r="C10" s="19"/>
      <c r="D10" s="19"/>
      <c r="E10" s="19"/>
      <c r="F10" s="22"/>
      <c r="G10" s="23"/>
    </row>
    <row r="11" ht="40.5" customHeight="1">
      <c r="A11" s="24" t="s">
        <v>105</v>
      </c>
      <c r="B11" s="20" t="s">
        <v>108</v>
      </c>
      <c r="C11" s="19"/>
      <c r="D11" s="19"/>
      <c r="E11" s="19"/>
      <c r="F11" s="22"/>
      <c r="G11" s="23"/>
    </row>
    <row r="12" ht="27.75" customHeight="1">
      <c r="A12" s="17" t="s">
        <v>117</v>
      </c>
      <c r="B12" s="18" t="s">
        <v>119</v>
      </c>
      <c r="C12" s="19"/>
      <c r="D12" s="19"/>
      <c r="E12" s="19"/>
      <c r="F12" s="22"/>
      <c r="G12" s="23"/>
    </row>
    <row r="13" ht="27.75" customHeight="1">
      <c r="A13" s="24" t="s">
        <v>127</v>
      </c>
      <c r="B13" s="20" t="s">
        <v>130</v>
      </c>
      <c r="C13" s="19"/>
      <c r="D13" s="19"/>
      <c r="E13" s="19"/>
      <c r="F13" s="22"/>
      <c r="G13" s="23"/>
    </row>
    <row r="14" ht="27.75" customHeight="1">
      <c r="A14" s="17" t="s">
        <v>136</v>
      </c>
      <c r="B14" s="18" t="s">
        <v>138</v>
      </c>
      <c r="C14" s="19"/>
      <c r="D14" s="19"/>
      <c r="E14" s="19"/>
      <c r="F14" s="22"/>
      <c r="G14" s="23"/>
    </row>
    <row r="15" ht="78.0" customHeight="1">
      <c r="A15" s="24" t="s">
        <v>145</v>
      </c>
      <c r="B15" s="20" t="s">
        <v>148</v>
      </c>
      <c r="C15" s="19"/>
      <c r="D15" s="19"/>
      <c r="E15" s="19"/>
      <c r="F15" s="22"/>
      <c r="G15" s="23"/>
    </row>
    <row r="16" ht="65.25" customHeight="1">
      <c r="A16" s="17" t="s">
        <v>150</v>
      </c>
      <c r="B16" s="18" t="s">
        <v>151</v>
      </c>
      <c r="C16" s="19"/>
      <c r="D16" s="19"/>
      <c r="E16" s="19"/>
      <c r="F16" s="22"/>
      <c r="G16" s="23"/>
    </row>
    <row r="17" ht="65.25" customHeight="1">
      <c r="A17" s="24" t="s">
        <v>154</v>
      </c>
      <c r="B17" s="20" t="s">
        <v>155</v>
      </c>
      <c r="C17" s="19"/>
      <c r="D17" s="19"/>
      <c r="E17" s="19"/>
      <c r="F17" s="22"/>
      <c r="G17" s="23"/>
    </row>
    <row r="18" ht="65.25" customHeight="1">
      <c r="A18" s="17" t="s">
        <v>156</v>
      </c>
      <c r="B18" s="18" t="s">
        <v>158</v>
      </c>
      <c r="C18" s="19"/>
      <c r="D18" s="19"/>
      <c r="E18" s="19"/>
      <c r="F18" s="22"/>
      <c r="G18" s="23"/>
    </row>
    <row r="19" ht="65.25" customHeight="1">
      <c r="A19" s="24" t="s">
        <v>162</v>
      </c>
      <c r="B19" s="20" t="s">
        <v>163</v>
      </c>
      <c r="C19" s="19"/>
      <c r="D19" s="19"/>
      <c r="E19" s="19"/>
      <c r="F19" s="22"/>
      <c r="G19" s="23"/>
    </row>
    <row r="20" ht="52.5" customHeight="1">
      <c r="A20" s="17" t="s">
        <v>164</v>
      </c>
      <c r="B20" s="18" t="s">
        <v>165</v>
      </c>
      <c r="C20" s="19"/>
      <c r="D20" s="19"/>
      <c r="E20" s="19"/>
      <c r="F20" s="22"/>
      <c r="G20"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4:G4"/>
  </mergeCells>
  <dataValidations>
    <dataValidation type="list" allowBlank="1" sqref="F6:F20">
      <formula1>"0,1,2,3,4,5"</formula1>
    </dataValidation>
    <dataValidation type="list" allowBlank="1" sqref="D6:D20">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72.0"/>
    <col customWidth="1" min="3" max="3" width="58.0"/>
    <col customWidth="1" min="4" max="4" width="22.0"/>
    <col customWidth="1" min="5" max="5" width="28.0"/>
    <col customWidth="1" min="6" max="6" width="10.0"/>
    <col customWidth="1" min="7" max="7" width="36.0"/>
    <col customWidth="1" min="8" max="26" width="8.71"/>
  </cols>
  <sheetData>
    <row r="1" ht="24.0" customHeight="1">
      <c r="A1" s="1" t="s">
        <v>5</v>
      </c>
    </row>
    <row r="2">
      <c r="A2" s="5" t="s">
        <v>6</v>
      </c>
    </row>
    <row r="3" ht="42.0" customHeight="1">
      <c r="A3" s="11" t="s">
        <v>12</v>
      </c>
      <c r="B3" s="9"/>
      <c r="C3" s="9"/>
      <c r="D3" s="9"/>
      <c r="E3" s="9"/>
      <c r="F3" s="9"/>
      <c r="G3" s="12"/>
      <c r="H3" s="15"/>
      <c r="I3" s="15"/>
      <c r="J3" s="15"/>
      <c r="K3" s="15"/>
      <c r="L3" s="15"/>
      <c r="M3" s="15"/>
      <c r="N3" s="15"/>
      <c r="O3" s="15"/>
      <c r="P3" s="15"/>
      <c r="Q3" s="15"/>
      <c r="R3" s="15"/>
      <c r="S3" s="15"/>
      <c r="T3" s="15"/>
      <c r="U3" s="15"/>
      <c r="V3" s="15"/>
      <c r="W3" s="15"/>
      <c r="X3" s="15"/>
      <c r="Y3" s="15"/>
      <c r="Z3" s="15"/>
    </row>
    <row r="5">
      <c r="A5" s="7" t="s">
        <v>9</v>
      </c>
      <c r="B5" s="9"/>
      <c r="C5" s="9"/>
      <c r="D5" s="9"/>
      <c r="E5" s="9"/>
      <c r="F5" s="9"/>
      <c r="G5" s="12"/>
    </row>
    <row r="6">
      <c r="A6" s="14" t="s">
        <v>19</v>
      </c>
      <c r="B6" s="14" t="s">
        <v>23</v>
      </c>
      <c r="C6" s="14" t="s">
        <v>26</v>
      </c>
      <c r="D6" s="14" t="s">
        <v>28</v>
      </c>
      <c r="E6" s="14" t="s">
        <v>31</v>
      </c>
      <c r="F6" s="14" t="s">
        <v>32</v>
      </c>
      <c r="G6" s="14" t="s">
        <v>35</v>
      </c>
    </row>
    <row r="7" ht="40.5" customHeight="1">
      <c r="A7" s="17" t="s">
        <v>69</v>
      </c>
      <c r="B7" s="18" t="s">
        <v>73</v>
      </c>
      <c r="C7" s="19"/>
      <c r="D7" s="19"/>
      <c r="E7" s="19"/>
      <c r="F7" s="22"/>
      <c r="G7" s="23"/>
    </row>
    <row r="8" ht="40.5" customHeight="1">
      <c r="A8" s="24" t="s">
        <v>89</v>
      </c>
      <c r="B8" s="20" t="s">
        <v>92</v>
      </c>
      <c r="C8" s="19"/>
      <c r="D8" s="19"/>
      <c r="E8" s="19"/>
      <c r="F8" s="22"/>
      <c r="G8" s="23"/>
    </row>
    <row r="9" ht="40.5" customHeight="1">
      <c r="A9" s="17" t="s">
        <v>100</v>
      </c>
      <c r="B9" s="18" t="s">
        <v>101</v>
      </c>
      <c r="C9" s="19"/>
      <c r="D9" s="19"/>
      <c r="E9" s="19"/>
      <c r="F9" s="22"/>
      <c r="G9" s="23"/>
    </row>
    <row r="10" ht="52.5" customHeight="1">
      <c r="A10" s="24" t="s">
        <v>112</v>
      </c>
      <c r="B10" s="20" t="s">
        <v>115</v>
      </c>
      <c r="C10" s="19"/>
      <c r="D10" s="19"/>
      <c r="E10" s="19"/>
      <c r="F10" s="22"/>
      <c r="G10" s="23"/>
    </row>
    <row r="11" ht="40.5" customHeight="1">
      <c r="A11" s="17" t="s">
        <v>128</v>
      </c>
      <c r="B11" s="18" t="s">
        <v>131</v>
      </c>
      <c r="C11" s="19"/>
      <c r="D11" s="19"/>
      <c r="E11" s="19"/>
      <c r="F11" s="22"/>
      <c r="G11" s="23"/>
    </row>
    <row r="12" ht="27.75" customHeight="1">
      <c r="A12" s="24" t="s">
        <v>144</v>
      </c>
      <c r="B12" s="20" t="s">
        <v>147</v>
      </c>
      <c r="C12" s="19"/>
      <c r="D12" s="19"/>
      <c r="E12" s="19"/>
      <c r="F12" s="22"/>
      <c r="G12" s="23"/>
    </row>
    <row r="13" ht="52.5" customHeight="1">
      <c r="A13" s="17" t="s">
        <v>152</v>
      </c>
      <c r="B13" s="18" t="s">
        <v>153</v>
      </c>
      <c r="C13" s="19"/>
      <c r="D13" s="19"/>
      <c r="E13" s="19"/>
      <c r="F13" s="22"/>
      <c r="G13" s="23"/>
    </row>
    <row r="14" ht="52.5" customHeight="1">
      <c r="A14" s="24" t="s">
        <v>157</v>
      </c>
      <c r="B14" s="20" t="s">
        <v>160</v>
      </c>
      <c r="C14" s="19"/>
      <c r="D14" s="19"/>
      <c r="E14" s="19"/>
      <c r="F14" s="22"/>
      <c r="G14"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3:G3"/>
    <mergeCell ref="A5:G5"/>
  </mergeCells>
  <dataValidations>
    <dataValidation type="list" allowBlank="1" sqref="F7:F14">
      <formula1>"0,1,2,3,4,5"</formula1>
    </dataValidation>
    <dataValidation type="list" allowBlank="1" sqref="D7:D14">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72.0"/>
    <col customWidth="1" min="3" max="3" width="58.0"/>
    <col customWidth="1" min="4" max="4" width="22.0"/>
    <col customWidth="1" min="5" max="5" width="28.0"/>
    <col customWidth="1" min="6" max="6" width="10.0"/>
    <col customWidth="1" min="7" max="7" width="36.0"/>
    <col customWidth="1" min="8" max="26" width="8.71"/>
  </cols>
  <sheetData>
    <row r="1" ht="24.0" customHeight="1">
      <c r="A1" s="1" t="s">
        <v>186</v>
      </c>
    </row>
    <row r="2">
      <c r="A2" s="5" t="s">
        <v>187</v>
      </c>
      <c r="H2" s="35"/>
      <c r="I2" s="35"/>
      <c r="J2" s="35"/>
      <c r="K2" s="35"/>
      <c r="L2" s="35"/>
      <c r="M2" s="35"/>
      <c r="N2" s="35"/>
      <c r="O2" s="35"/>
      <c r="P2" s="35"/>
      <c r="Q2" s="35"/>
      <c r="R2" s="35"/>
      <c r="S2" s="35"/>
      <c r="T2" s="35"/>
      <c r="U2" s="35"/>
      <c r="V2" s="35"/>
      <c r="W2" s="35"/>
      <c r="X2" s="35"/>
      <c r="Y2" s="35"/>
      <c r="Z2" s="35"/>
    </row>
    <row r="3">
      <c r="A3" s="11" t="s">
        <v>188</v>
      </c>
      <c r="B3" s="9"/>
      <c r="C3" s="9"/>
      <c r="D3" s="9"/>
      <c r="E3" s="9"/>
      <c r="F3" s="9"/>
      <c r="G3" s="12"/>
      <c r="H3" s="11"/>
      <c r="I3" s="9"/>
      <c r="J3" s="9"/>
      <c r="K3" s="9"/>
      <c r="L3" s="9"/>
      <c r="M3" s="9"/>
      <c r="N3" s="12"/>
      <c r="O3" s="11"/>
      <c r="P3" s="9"/>
      <c r="Q3" s="9"/>
      <c r="R3" s="9"/>
      <c r="S3" s="9"/>
      <c r="T3" s="9"/>
      <c r="U3" s="12"/>
    </row>
    <row r="4" ht="40.5" customHeight="1">
      <c r="A4" s="11" t="s">
        <v>189</v>
      </c>
      <c r="B4" s="9"/>
      <c r="C4" s="9"/>
      <c r="D4" s="9"/>
      <c r="E4" s="9"/>
      <c r="F4" s="9"/>
      <c r="G4" s="12"/>
      <c r="H4" s="11"/>
      <c r="I4" s="9"/>
      <c r="J4" s="9"/>
      <c r="K4" s="9"/>
      <c r="L4" s="9"/>
      <c r="M4" s="9"/>
      <c r="N4" s="12"/>
      <c r="O4" s="11"/>
      <c r="P4" s="9"/>
      <c r="Q4" s="9"/>
      <c r="R4" s="9"/>
      <c r="S4" s="9"/>
      <c r="T4" s="9"/>
      <c r="U4" s="12"/>
    </row>
    <row r="6">
      <c r="A6" s="7" t="s">
        <v>9</v>
      </c>
      <c r="B6" s="9"/>
      <c r="C6" s="9"/>
      <c r="D6" s="9"/>
      <c r="E6" s="9"/>
      <c r="F6" s="9"/>
      <c r="G6" s="12"/>
    </row>
    <row r="7">
      <c r="A7" s="14" t="s">
        <v>19</v>
      </c>
      <c r="B7" s="14" t="s">
        <v>23</v>
      </c>
      <c r="C7" s="14" t="s">
        <v>26</v>
      </c>
      <c r="D7" s="14" t="s">
        <v>28</v>
      </c>
      <c r="E7" s="14" t="s">
        <v>31</v>
      </c>
      <c r="F7" s="14" t="s">
        <v>32</v>
      </c>
      <c r="G7" s="14" t="s">
        <v>35</v>
      </c>
    </row>
    <row r="8" ht="40.5" customHeight="1">
      <c r="A8" s="17" t="s">
        <v>195</v>
      </c>
      <c r="B8" s="18" t="s">
        <v>197</v>
      </c>
      <c r="C8" s="19"/>
      <c r="D8" s="19"/>
      <c r="E8" s="19"/>
      <c r="F8" s="22"/>
      <c r="G8" s="23"/>
    </row>
    <row r="9" ht="40.5" customHeight="1">
      <c r="A9" s="24" t="s">
        <v>203</v>
      </c>
      <c r="B9" s="20" t="s">
        <v>204</v>
      </c>
      <c r="C9" s="19"/>
      <c r="D9" s="19"/>
      <c r="E9" s="19"/>
      <c r="F9" s="22"/>
      <c r="G9" s="23"/>
    </row>
    <row r="10" ht="52.5" customHeight="1">
      <c r="A10" s="17" t="s">
        <v>205</v>
      </c>
      <c r="B10" s="18" t="s">
        <v>206</v>
      </c>
      <c r="C10" s="19"/>
      <c r="D10" s="19"/>
      <c r="E10" s="19"/>
      <c r="F10" s="22"/>
      <c r="G10" s="23"/>
    </row>
    <row r="11" ht="27.75" customHeight="1">
      <c r="A11" s="24" t="s">
        <v>209</v>
      </c>
      <c r="B11" s="20" t="s">
        <v>210</v>
      </c>
      <c r="C11" s="19"/>
      <c r="D11" s="19"/>
      <c r="E11" s="19"/>
      <c r="F11" s="22"/>
      <c r="G11" s="23"/>
    </row>
    <row r="12" ht="52.5" customHeight="1">
      <c r="A12" s="17" t="s">
        <v>213</v>
      </c>
      <c r="B12" s="18" t="s">
        <v>214</v>
      </c>
      <c r="C12" s="19"/>
      <c r="D12" s="19"/>
      <c r="E12" s="19"/>
      <c r="F12" s="22"/>
      <c r="G12" s="23"/>
    </row>
    <row r="13" ht="40.5" customHeight="1">
      <c r="A13" s="24" t="s">
        <v>217</v>
      </c>
      <c r="B13" s="20" t="s">
        <v>219</v>
      </c>
      <c r="C13" s="19"/>
      <c r="D13" s="19"/>
      <c r="E13" s="19"/>
      <c r="F13" s="22"/>
      <c r="G13"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G4"/>
    <mergeCell ref="A6:G6"/>
    <mergeCell ref="A1:G1"/>
    <mergeCell ref="A2:G2"/>
    <mergeCell ref="A3:G3"/>
    <mergeCell ref="H3:N3"/>
    <mergeCell ref="O3:U3"/>
    <mergeCell ref="H4:N4"/>
    <mergeCell ref="O4:U4"/>
  </mergeCells>
  <dataValidations>
    <dataValidation type="list" allowBlank="1" sqref="F8:F13">
      <formula1>"0,1,2,3,4,5"</formula1>
    </dataValidation>
    <dataValidation type="list" allowBlank="1" sqref="D8:D13">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72.0"/>
    <col customWidth="1" min="3" max="3" width="58.0"/>
    <col customWidth="1" min="4" max="4" width="22.0"/>
    <col customWidth="1" min="5" max="5" width="28.0"/>
    <col customWidth="1" min="6" max="6" width="10.0"/>
    <col customWidth="1" min="7" max="7" width="36.0"/>
    <col customWidth="1" min="8" max="26" width="8.71"/>
  </cols>
  <sheetData>
    <row r="1" ht="24.0" customHeight="1">
      <c r="A1" s="1" t="s">
        <v>190</v>
      </c>
    </row>
    <row r="2" ht="27.75" customHeight="1">
      <c r="A2" s="5" t="s">
        <v>191</v>
      </c>
      <c r="H2" s="35"/>
      <c r="I2" s="35"/>
      <c r="J2" s="35"/>
      <c r="K2" s="35"/>
      <c r="L2" s="35"/>
      <c r="M2" s="35"/>
      <c r="N2" s="35"/>
      <c r="O2" s="35"/>
      <c r="P2" s="35"/>
      <c r="Q2" s="35"/>
      <c r="R2" s="35"/>
      <c r="S2" s="35"/>
      <c r="T2" s="35"/>
      <c r="U2" s="35"/>
      <c r="V2" s="35"/>
      <c r="W2" s="35"/>
      <c r="X2" s="35"/>
      <c r="Y2" s="35"/>
      <c r="Z2" s="35"/>
    </row>
    <row r="3" ht="27.75" customHeight="1">
      <c r="A3" s="11" t="s">
        <v>192</v>
      </c>
      <c r="B3" s="9"/>
      <c r="C3" s="9"/>
      <c r="D3" s="9"/>
      <c r="E3" s="9"/>
      <c r="F3" s="9"/>
      <c r="G3" s="12"/>
      <c r="H3" s="11"/>
      <c r="I3" s="9"/>
      <c r="J3" s="9"/>
      <c r="K3" s="9"/>
      <c r="L3" s="9"/>
      <c r="M3" s="9"/>
      <c r="N3" s="12"/>
      <c r="O3" s="11"/>
      <c r="P3" s="9"/>
      <c r="Q3" s="9"/>
      <c r="R3" s="9"/>
      <c r="S3" s="9"/>
      <c r="T3" s="9"/>
      <c r="U3" s="12"/>
    </row>
    <row r="5" ht="19.5" customHeight="1">
      <c r="A5" s="4" t="s">
        <v>193</v>
      </c>
    </row>
    <row r="6" ht="27.75" customHeight="1">
      <c r="A6" s="13" t="s">
        <v>14</v>
      </c>
      <c r="B6" s="10" t="s">
        <v>194</v>
      </c>
    </row>
    <row r="7" ht="15.0" customHeight="1">
      <c r="A7" s="13" t="s">
        <v>14</v>
      </c>
      <c r="B7" s="10" t="s">
        <v>196</v>
      </c>
    </row>
    <row r="8" ht="15.0" customHeight="1">
      <c r="A8" s="13" t="s">
        <v>14</v>
      </c>
      <c r="B8" s="10" t="s">
        <v>198</v>
      </c>
    </row>
    <row r="9" ht="15.0" customHeight="1">
      <c r="A9" s="13" t="s">
        <v>14</v>
      </c>
      <c r="B9" s="10" t="s">
        <v>199</v>
      </c>
    </row>
    <row r="10" ht="15.0" customHeight="1">
      <c r="A10" s="13" t="s">
        <v>14</v>
      </c>
      <c r="B10" s="10" t="s">
        <v>200</v>
      </c>
    </row>
    <row r="11" ht="15.0" customHeight="1">
      <c r="A11" s="13" t="s">
        <v>14</v>
      </c>
      <c r="B11" s="10" t="s">
        <v>201</v>
      </c>
    </row>
    <row r="12" ht="15.0" customHeight="1">
      <c r="A12" s="13" t="s">
        <v>14</v>
      </c>
      <c r="B12" s="10" t="s">
        <v>202</v>
      </c>
    </row>
    <row r="14" ht="19.5" customHeight="1">
      <c r="A14" s="4" t="s">
        <v>149</v>
      </c>
    </row>
    <row r="15">
      <c r="A15" s="7" t="s">
        <v>9</v>
      </c>
      <c r="B15" s="9"/>
      <c r="C15" s="9"/>
      <c r="D15" s="9"/>
      <c r="E15" s="9"/>
      <c r="F15" s="9"/>
      <c r="G15" s="12"/>
    </row>
    <row r="16">
      <c r="A16" s="14" t="s">
        <v>19</v>
      </c>
      <c r="B16" s="14" t="s">
        <v>23</v>
      </c>
      <c r="C16" s="14" t="s">
        <v>26</v>
      </c>
      <c r="D16" s="14" t="s">
        <v>28</v>
      </c>
      <c r="E16" s="14" t="s">
        <v>31</v>
      </c>
      <c r="F16" s="14" t="s">
        <v>32</v>
      </c>
      <c r="G16" s="14" t="s">
        <v>35</v>
      </c>
    </row>
    <row r="17" ht="27.75" customHeight="1">
      <c r="A17" s="17" t="s">
        <v>207</v>
      </c>
      <c r="B17" s="18" t="s">
        <v>208</v>
      </c>
      <c r="C17" s="19"/>
      <c r="D17" s="19"/>
      <c r="E17" s="19"/>
      <c r="F17" s="22"/>
      <c r="G17" s="23"/>
    </row>
    <row r="18" ht="40.5" customHeight="1">
      <c r="A18" s="24" t="s">
        <v>211</v>
      </c>
      <c r="B18" s="20" t="s">
        <v>212</v>
      </c>
      <c r="C18" s="19"/>
      <c r="D18" s="19"/>
      <c r="E18" s="19"/>
      <c r="F18" s="22"/>
      <c r="G18" s="23"/>
    </row>
    <row r="19" ht="40.5" customHeight="1">
      <c r="A19" s="17" t="s">
        <v>215</v>
      </c>
      <c r="B19" s="18" t="s">
        <v>216</v>
      </c>
      <c r="C19" s="19"/>
      <c r="D19" s="19"/>
      <c r="E19" s="19"/>
      <c r="F19" s="22"/>
      <c r="G19" s="23"/>
    </row>
    <row r="20" ht="65.25" customHeight="1">
      <c r="A20" s="24" t="s">
        <v>218</v>
      </c>
      <c r="B20" s="20" t="s">
        <v>220</v>
      </c>
      <c r="C20" s="19"/>
      <c r="D20" s="19"/>
      <c r="E20" s="19"/>
      <c r="F20" s="22"/>
      <c r="G20" s="23"/>
    </row>
    <row r="21" ht="40.5" customHeight="1">
      <c r="A21" s="17" t="s">
        <v>221</v>
      </c>
      <c r="B21" s="18" t="s">
        <v>222</v>
      </c>
      <c r="C21" s="19"/>
      <c r="D21" s="19"/>
      <c r="E21" s="19"/>
      <c r="F21" s="22"/>
      <c r="G21" s="23"/>
    </row>
    <row r="22" ht="40.5" customHeight="1">
      <c r="A22" s="24" t="s">
        <v>223</v>
      </c>
      <c r="B22" s="20" t="s">
        <v>224</v>
      </c>
      <c r="C22" s="19"/>
      <c r="D22" s="19"/>
      <c r="E22" s="19"/>
      <c r="F22" s="22"/>
      <c r="G22" s="23"/>
    </row>
    <row r="23" ht="65.25" customHeight="1">
      <c r="A23" s="17" t="s">
        <v>225</v>
      </c>
      <c r="B23" s="18" t="s">
        <v>226</v>
      </c>
      <c r="C23" s="19"/>
      <c r="D23" s="19"/>
      <c r="E23" s="19"/>
      <c r="F23" s="22"/>
      <c r="G23" s="2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7:G7"/>
    <mergeCell ref="B8:G8"/>
    <mergeCell ref="B9:G9"/>
    <mergeCell ref="B10:G10"/>
    <mergeCell ref="B11:G11"/>
    <mergeCell ref="B12:G12"/>
    <mergeCell ref="A14:G14"/>
    <mergeCell ref="A15:G15"/>
    <mergeCell ref="A1:G1"/>
    <mergeCell ref="A2:G2"/>
    <mergeCell ref="A3:G3"/>
    <mergeCell ref="H3:N3"/>
    <mergeCell ref="O3:U3"/>
    <mergeCell ref="A5:G5"/>
    <mergeCell ref="B6:G6"/>
  </mergeCells>
  <dataValidations>
    <dataValidation type="list" allowBlank="1" sqref="F17:F23">
      <formula1>"0,1,2,3,4,5"</formula1>
    </dataValidation>
    <dataValidation type="list" allowBlank="1" sqref="D17:D23">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72.0"/>
    <col customWidth="1" min="3" max="3" width="58.0"/>
    <col customWidth="1" min="4" max="4" width="22.0"/>
    <col customWidth="1" min="5" max="5" width="28.0"/>
    <col customWidth="1" min="6" max="6" width="10.0"/>
    <col customWidth="1" min="7" max="7" width="36.0"/>
    <col customWidth="1" min="8" max="26" width="8.71"/>
  </cols>
  <sheetData>
    <row r="1" ht="24.0" customHeight="1">
      <c r="A1" s="1" t="s">
        <v>227</v>
      </c>
    </row>
    <row r="2" ht="27.75" customHeight="1">
      <c r="A2" s="36" t="s">
        <v>228</v>
      </c>
      <c r="B2" s="9"/>
      <c r="C2" s="9"/>
      <c r="D2" s="9"/>
      <c r="E2" s="9"/>
      <c r="F2" s="9"/>
      <c r="G2" s="12"/>
      <c r="H2" s="37"/>
      <c r="I2" s="9"/>
      <c r="J2" s="9"/>
      <c r="K2" s="9"/>
      <c r="L2" s="9"/>
      <c r="M2" s="9"/>
      <c r="N2" s="12"/>
      <c r="O2" s="37"/>
      <c r="P2" s="9"/>
      <c r="Q2" s="9"/>
      <c r="R2" s="9"/>
      <c r="S2" s="9"/>
      <c r="T2" s="9"/>
      <c r="U2" s="12"/>
      <c r="V2" s="38"/>
      <c r="W2" s="38"/>
      <c r="X2" s="38"/>
      <c r="Y2" s="38"/>
      <c r="Z2" s="38"/>
    </row>
    <row r="4">
      <c r="A4" s="7" t="s">
        <v>9</v>
      </c>
      <c r="B4" s="9"/>
      <c r="C4" s="9"/>
      <c r="D4" s="9"/>
      <c r="E4" s="9"/>
      <c r="F4" s="9"/>
      <c r="G4" s="12"/>
    </row>
    <row r="5">
      <c r="A5" s="14" t="s">
        <v>19</v>
      </c>
      <c r="B5" s="14" t="s">
        <v>23</v>
      </c>
      <c r="C5" s="14" t="s">
        <v>26</v>
      </c>
      <c r="D5" s="14" t="s">
        <v>28</v>
      </c>
      <c r="E5" s="14" t="s">
        <v>31</v>
      </c>
      <c r="F5" s="14" t="s">
        <v>32</v>
      </c>
      <c r="G5" s="14" t="s">
        <v>35</v>
      </c>
    </row>
    <row r="6" ht="52.5" customHeight="1">
      <c r="A6" s="17" t="s">
        <v>229</v>
      </c>
      <c r="B6" s="18" t="s">
        <v>230</v>
      </c>
      <c r="C6" s="19"/>
      <c r="D6" s="19"/>
      <c r="E6" s="19"/>
      <c r="F6" s="22"/>
      <c r="G6" s="23"/>
    </row>
    <row r="7" ht="52.5" customHeight="1">
      <c r="A7" s="24" t="s">
        <v>231</v>
      </c>
      <c r="B7" s="20" t="s">
        <v>232</v>
      </c>
      <c r="C7" s="19"/>
      <c r="D7" s="19"/>
      <c r="E7" s="19"/>
      <c r="F7" s="22"/>
      <c r="G7" s="23"/>
    </row>
    <row r="8" ht="40.5" customHeight="1">
      <c r="A8" s="17" t="s">
        <v>233</v>
      </c>
      <c r="B8" s="18" t="s">
        <v>234</v>
      </c>
      <c r="C8" s="19"/>
      <c r="D8" s="19"/>
      <c r="E8" s="19"/>
      <c r="F8" s="22"/>
      <c r="G8" s="23"/>
    </row>
    <row r="9" ht="27.75" customHeight="1">
      <c r="A9" s="24" t="s">
        <v>235</v>
      </c>
      <c r="B9" s="20" t="s">
        <v>236</v>
      </c>
      <c r="C9" s="19"/>
      <c r="D9" s="19"/>
      <c r="E9" s="19"/>
      <c r="F9" s="22"/>
      <c r="G9" s="23"/>
    </row>
    <row r="10" ht="40.5" customHeight="1">
      <c r="A10" s="17" t="s">
        <v>237</v>
      </c>
      <c r="B10" s="18" t="s">
        <v>238</v>
      </c>
      <c r="C10" s="19"/>
      <c r="D10" s="19"/>
      <c r="E10" s="19"/>
      <c r="F10" s="22"/>
      <c r="G10" s="23"/>
    </row>
    <row r="11" ht="27.75" customHeight="1">
      <c r="A11" s="24" t="s">
        <v>239</v>
      </c>
      <c r="B11" s="20" t="s">
        <v>240</v>
      </c>
      <c r="C11" s="19"/>
      <c r="D11" s="19"/>
      <c r="E11" s="19"/>
      <c r="F11" s="22"/>
      <c r="G11" s="23"/>
    </row>
    <row r="12" ht="27.75" customHeight="1">
      <c r="A12" s="17" t="s">
        <v>241</v>
      </c>
      <c r="B12" s="18" t="s">
        <v>242</v>
      </c>
      <c r="C12" s="19"/>
      <c r="D12" s="19"/>
      <c r="E12" s="19"/>
      <c r="F12" s="22"/>
      <c r="G12" s="23"/>
    </row>
    <row r="13" ht="65.25" customHeight="1">
      <c r="A13" s="24" t="s">
        <v>243</v>
      </c>
      <c r="B13" s="20" t="s">
        <v>244</v>
      </c>
      <c r="C13" s="19"/>
      <c r="D13" s="19"/>
      <c r="E13" s="19"/>
      <c r="F13" s="22"/>
      <c r="G13" s="23"/>
    </row>
    <row r="14" ht="52.5" customHeight="1">
      <c r="A14" s="17" t="s">
        <v>245</v>
      </c>
      <c r="B14" s="18" t="s">
        <v>246</v>
      </c>
      <c r="C14" s="19"/>
      <c r="D14" s="19"/>
      <c r="E14" s="19"/>
      <c r="F14" s="22"/>
      <c r="G14"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G2"/>
    <mergeCell ref="H2:N2"/>
    <mergeCell ref="O2:U2"/>
    <mergeCell ref="A4:G4"/>
  </mergeCells>
  <dataValidations>
    <dataValidation type="list" allowBlank="1" sqref="F6:F14">
      <formula1>"0,1,2,3,4,5"</formula1>
    </dataValidation>
    <dataValidation type="list" allowBlank="1" sqref="D6:D14">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72.0"/>
    <col customWidth="1" min="3" max="3" width="58.0"/>
    <col customWidth="1" min="4" max="4" width="22.0"/>
    <col customWidth="1" min="5" max="5" width="28.0"/>
    <col customWidth="1" min="6" max="6" width="10.0"/>
    <col customWidth="1" min="7" max="7" width="36.0"/>
    <col customWidth="1" min="8" max="26" width="8.71"/>
  </cols>
  <sheetData>
    <row r="1" ht="24.0" customHeight="1">
      <c r="A1" s="1" t="s">
        <v>247</v>
      </c>
    </row>
    <row r="2" ht="27.75" customHeight="1">
      <c r="A2" s="5" t="s">
        <v>248</v>
      </c>
    </row>
    <row r="3" ht="27.75" customHeight="1">
      <c r="A3" s="39" t="s">
        <v>249</v>
      </c>
      <c r="B3" s="9"/>
      <c r="C3" s="9"/>
      <c r="D3" s="9"/>
      <c r="E3" s="9"/>
      <c r="F3" s="9"/>
      <c r="G3" s="12"/>
      <c r="H3" s="37"/>
      <c r="I3" s="9"/>
      <c r="J3" s="9"/>
      <c r="K3" s="9"/>
      <c r="L3" s="9"/>
      <c r="M3" s="9"/>
      <c r="N3" s="12"/>
      <c r="O3" s="37"/>
      <c r="P3" s="9"/>
      <c r="Q3" s="9"/>
      <c r="R3" s="9"/>
      <c r="S3" s="9"/>
      <c r="T3" s="9"/>
      <c r="U3" s="12"/>
      <c r="V3" s="38"/>
      <c r="W3" s="38"/>
      <c r="X3" s="38"/>
      <c r="Y3" s="38"/>
      <c r="Z3" s="38"/>
    </row>
    <row r="4" ht="27.75" customHeight="1">
      <c r="A4" s="39" t="s">
        <v>250</v>
      </c>
      <c r="B4" s="9"/>
      <c r="C4" s="9"/>
      <c r="D4" s="9"/>
      <c r="E4" s="9"/>
      <c r="F4" s="9"/>
      <c r="G4" s="12"/>
      <c r="H4" s="37"/>
      <c r="I4" s="9"/>
      <c r="J4" s="9"/>
      <c r="K4" s="9"/>
      <c r="L4" s="9"/>
      <c r="M4" s="9"/>
      <c r="N4" s="12"/>
      <c r="O4" s="37"/>
      <c r="P4" s="9"/>
      <c r="Q4" s="9"/>
      <c r="R4" s="9"/>
      <c r="S4" s="9"/>
      <c r="T4" s="9"/>
      <c r="U4" s="12"/>
      <c r="V4" s="38"/>
      <c r="W4" s="38"/>
      <c r="X4" s="38"/>
      <c r="Y4" s="38"/>
      <c r="Z4" s="38"/>
    </row>
    <row r="5" ht="27.75" customHeight="1">
      <c r="A5" s="39" t="s">
        <v>251</v>
      </c>
      <c r="B5" s="9"/>
      <c r="C5" s="9"/>
      <c r="D5" s="9"/>
      <c r="E5" s="9"/>
      <c r="F5" s="9"/>
      <c r="G5" s="12"/>
      <c r="H5" s="37"/>
      <c r="I5" s="9"/>
      <c r="J5" s="9"/>
      <c r="K5" s="9"/>
      <c r="L5" s="9"/>
      <c r="M5" s="9"/>
      <c r="N5" s="12"/>
      <c r="O5" s="37"/>
      <c r="P5" s="9"/>
      <c r="Q5" s="9"/>
      <c r="R5" s="9"/>
      <c r="S5" s="9"/>
      <c r="T5" s="9"/>
      <c r="U5" s="12"/>
      <c r="V5" s="38"/>
      <c r="W5" s="38"/>
      <c r="X5" s="38"/>
      <c r="Y5" s="38"/>
      <c r="Z5" s="38"/>
    </row>
    <row r="6" ht="40.5" customHeight="1">
      <c r="A6" s="39" t="s">
        <v>252</v>
      </c>
      <c r="B6" s="9"/>
      <c r="C6" s="9"/>
      <c r="D6" s="9"/>
      <c r="E6" s="9"/>
      <c r="F6" s="9"/>
      <c r="G6" s="12"/>
      <c r="H6" s="37"/>
      <c r="I6" s="9"/>
      <c r="J6" s="9"/>
      <c r="K6" s="9"/>
      <c r="L6" s="9"/>
      <c r="M6" s="9"/>
      <c r="N6" s="12"/>
      <c r="O6" s="37"/>
      <c r="P6" s="9"/>
      <c r="Q6" s="9"/>
      <c r="R6" s="9"/>
      <c r="S6" s="9"/>
      <c r="T6" s="9"/>
      <c r="U6" s="12"/>
      <c r="V6" s="38"/>
      <c r="W6" s="38"/>
      <c r="X6" s="38"/>
      <c r="Y6" s="38"/>
      <c r="Z6" s="38"/>
    </row>
    <row r="8">
      <c r="A8" s="7" t="s">
        <v>9</v>
      </c>
      <c r="B8" s="9"/>
      <c r="C8" s="9"/>
      <c r="D8" s="9"/>
      <c r="E8" s="9"/>
      <c r="F8" s="9"/>
      <c r="G8" s="12"/>
    </row>
    <row r="9">
      <c r="A9" s="14" t="s">
        <v>19</v>
      </c>
      <c r="B9" s="14" t="s">
        <v>23</v>
      </c>
      <c r="C9" s="14" t="s">
        <v>26</v>
      </c>
      <c r="D9" s="14" t="s">
        <v>28</v>
      </c>
      <c r="E9" s="14" t="s">
        <v>31</v>
      </c>
      <c r="F9" s="14" t="s">
        <v>32</v>
      </c>
      <c r="G9" s="14" t="s">
        <v>35</v>
      </c>
    </row>
    <row r="10" ht="40.5" customHeight="1">
      <c r="A10" s="17" t="s">
        <v>253</v>
      </c>
      <c r="B10" s="18" t="s">
        <v>254</v>
      </c>
      <c r="C10" s="19"/>
      <c r="D10" s="19"/>
      <c r="E10" s="19"/>
      <c r="F10" s="22"/>
      <c r="G10" s="23"/>
    </row>
    <row r="11" ht="40.5" customHeight="1">
      <c r="A11" s="24" t="s">
        <v>257</v>
      </c>
      <c r="B11" s="20" t="s">
        <v>258</v>
      </c>
      <c r="C11" s="19"/>
      <c r="D11" s="19"/>
      <c r="E11" s="19"/>
      <c r="F11" s="22"/>
      <c r="G11" s="23"/>
    </row>
    <row r="12" ht="52.5" customHeight="1">
      <c r="A12" s="17" t="s">
        <v>261</v>
      </c>
      <c r="B12" s="18" t="s">
        <v>262</v>
      </c>
      <c r="C12" s="19"/>
      <c r="D12" s="19"/>
      <c r="E12" s="19"/>
      <c r="F12" s="22"/>
      <c r="G12" s="23"/>
    </row>
    <row r="13" ht="40.5" customHeight="1">
      <c r="A13" s="24" t="s">
        <v>264</v>
      </c>
      <c r="B13" s="20" t="s">
        <v>266</v>
      </c>
      <c r="C13" s="19"/>
      <c r="D13" s="19"/>
      <c r="E13" s="19"/>
      <c r="F13" s="22"/>
      <c r="G13" s="23"/>
    </row>
    <row r="14" ht="65.25" customHeight="1">
      <c r="A14" s="17" t="s">
        <v>269</v>
      </c>
      <c r="B14" s="18" t="s">
        <v>270</v>
      </c>
      <c r="C14" s="19"/>
      <c r="D14" s="19"/>
      <c r="E14" s="19"/>
      <c r="F14" s="22"/>
      <c r="G14" s="23"/>
    </row>
    <row r="15" ht="52.5" customHeight="1">
      <c r="A15" s="24" t="s">
        <v>273</v>
      </c>
      <c r="B15" s="20" t="s">
        <v>275</v>
      </c>
      <c r="C15" s="19"/>
      <c r="D15" s="19"/>
      <c r="E15" s="19"/>
      <c r="F15" s="22"/>
      <c r="G15" s="23"/>
    </row>
    <row r="16" ht="27.75" customHeight="1">
      <c r="A16" s="17" t="s">
        <v>277</v>
      </c>
      <c r="B16" s="18" t="s">
        <v>278</v>
      </c>
      <c r="C16" s="19"/>
      <c r="D16" s="19"/>
      <c r="E16" s="19"/>
      <c r="F16" s="22"/>
      <c r="G16" s="23"/>
    </row>
    <row r="17" ht="52.5" customHeight="1">
      <c r="A17" s="24" t="s">
        <v>279</v>
      </c>
      <c r="B17" s="20" t="s">
        <v>281</v>
      </c>
      <c r="C17" s="19"/>
      <c r="D17" s="19"/>
      <c r="E17" s="19"/>
      <c r="F17" s="22"/>
      <c r="G17" s="23"/>
    </row>
    <row r="18" ht="40.5" customHeight="1">
      <c r="A18" s="17" t="s">
        <v>283</v>
      </c>
      <c r="B18" s="18" t="s">
        <v>284</v>
      </c>
      <c r="C18" s="19"/>
      <c r="D18" s="19"/>
      <c r="E18" s="19"/>
      <c r="F18" s="22"/>
      <c r="G18" s="23"/>
    </row>
    <row r="19" ht="52.5" customHeight="1">
      <c r="A19" s="24" t="s">
        <v>285</v>
      </c>
      <c r="B19" s="20" t="s">
        <v>286</v>
      </c>
      <c r="C19" s="19"/>
      <c r="D19" s="19"/>
      <c r="E19" s="19"/>
      <c r="F19" s="22"/>
      <c r="G19" s="23"/>
    </row>
    <row r="20" ht="40.5" customHeight="1">
      <c r="A20" s="17" t="s">
        <v>289</v>
      </c>
      <c r="B20" s="18" t="s">
        <v>290</v>
      </c>
      <c r="C20" s="19"/>
      <c r="D20" s="19"/>
      <c r="E20" s="19"/>
      <c r="F20" s="22"/>
      <c r="G20" s="23"/>
    </row>
    <row r="21" ht="40.5" customHeight="1">
      <c r="A21" s="24" t="s">
        <v>291</v>
      </c>
      <c r="B21" s="20" t="s">
        <v>293</v>
      </c>
      <c r="C21" s="19"/>
      <c r="D21" s="19"/>
      <c r="E21" s="19"/>
      <c r="F21" s="22"/>
      <c r="G21" s="23"/>
    </row>
    <row r="22" ht="52.5" customHeight="1">
      <c r="A22" s="17" t="s">
        <v>295</v>
      </c>
      <c r="B22" s="18" t="s">
        <v>297</v>
      </c>
      <c r="C22" s="19"/>
      <c r="D22" s="19"/>
      <c r="E22" s="19"/>
      <c r="F22" s="22"/>
      <c r="G22" s="23"/>
    </row>
    <row r="23" ht="40.5" customHeight="1">
      <c r="A23" s="24" t="s">
        <v>299</v>
      </c>
      <c r="B23" s="20" t="s">
        <v>301</v>
      </c>
      <c r="C23" s="19"/>
      <c r="D23" s="19"/>
      <c r="E23" s="19"/>
      <c r="F23" s="22"/>
      <c r="G23" s="2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4:G4"/>
    <mergeCell ref="A5:G5"/>
    <mergeCell ref="H5:N5"/>
    <mergeCell ref="O5:U5"/>
    <mergeCell ref="A6:G6"/>
    <mergeCell ref="H6:N6"/>
    <mergeCell ref="O6:U6"/>
    <mergeCell ref="A8:G8"/>
    <mergeCell ref="A1:G1"/>
    <mergeCell ref="A2:G2"/>
    <mergeCell ref="A3:G3"/>
    <mergeCell ref="H3:N3"/>
    <mergeCell ref="O3:U3"/>
    <mergeCell ref="H4:N4"/>
    <mergeCell ref="O4:U4"/>
  </mergeCells>
  <dataValidations>
    <dataValidation type="list" allowBlank="1" sqref="F10:F23">
      <formula1>"0,1,2,3,4,5"</formula1>
    </dataValidation>
    <dataValidation type="list" allowBlank="1" sqref="D10:D23">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72.0"/>
    <col customWidth="1" min="3" max="3" width="58.0"/>
    <col customWidth="1" min="4" max="4" width="22.0"/>
    <col customWidth="1" min="5" max="5" width="28.0"/>
    <col customWidth="1" min="6" max="6" width="10.0"/>
    <col customWidth="1" min="7" max="7" width="36.0"/>
    <col customWidth="1" min="8" max="26" width="8.71"/>
  </cols>
  <sheetData>
    <row r="1" ht="24.0" customHeight="1">
      <c r="A1" s="1" t="s">
        <v>255</v>
      </c>
    </row>
    <row r="2" ht="18.0" customHeight="1">
      <c r="A2" s="3" t="s">
        <v>256</v>
      </c>
    </row>
    <row r="4">
      <c r="A4" s="7" t="s">
        <v>9</v>
      </c>
      <c r="B4" s="9"/>
      <c r="C4" s="9"/>
      <c r="D4" s="9"/>
      <c r="E4" s="9"/>
      <c r="F4" s="9"/>
      <c r="G4" s="12"/>
    </row>
    <row r="5">
      <c r="A5" s="14" t="s">
        <v>19</v>
      </c>
      <c r="B5" s="14" t="s">
        <v>23</v>
      </c>
      <c r="C5" s="14" t="s">
        <v>26</v>
      </c>
      <c r="D5" s="14" t="s">
        <v>28</v>
      </c>
      <c r="E5" s="14" t="s">
        <v>31</v>
      </c>
      <c r="F5" s="14" t="s">
        <v>32</v>
      </c>
      <c r="G5" s="14" t="s">
        <v>35</v>
      </c>
    </row>
    <row r="6" ht="40.5" customHeight="1">
      <c r="A6" s="17" t="s">
        <v>259</v>
      </c>
      <c r="B6" s="18" t="s">
        <v>260</v>
      </c>
      <c r="C6" s="19"/>
      <c r="D6" s="19"/>
      <c r="E6" s="19"/>
      <c r="F6" s="22"/>
      <c r="G6" s="23"/>
    </row>
    <row r="7" ht="40.5" customHeight="1">
      <c r="A7" s="24" t="s">
        <v>263</v>
      </c>
      <c r="B7" s="20" t="s">
        <v>265</v>
      </c>
      <c r="C7" s="19"/>
      <c r="D7" s="19"/>
      <c r="E7" s="19"/>
      <c r="F7" s="22"/>
      <c r="G7" s="23"/>
    </row>
    <row r="8" ht="40.5" customHeight="1">
      <c r="A8" s="17" t="s">
        <v>267</v>
      </c>
      <c r="B8" s="18" t="s">
        <v>268</v>
      </c>
      <c r="C8" s="19"/>
      <c r="D8" s="19"/>
      <c r="E8" s="19"/>
      <c r="F8" s="22"/>
      <c r="G8" s="23"/>
    </row>
    <row r="9" ht="27.75" customHeight="1">
      <c r="A9" s="24" t="s">
        <v>271</v>
      </c>
      <c r="B9" s="20" t="s">
        <v>272</v>
      </c>
      <c r="C9" s="19"/>
      <c r="D9" s="19"/>
      <c r="E9" s="19"/>
      <c r="F9" s="22"/>
      <c r="G9" s="23"/>
    </row>
    <row r="10" ht="40.5" customHeight="1">
      <c r="A10" s="17" t="s">
        <v>274</v>
      </c>
      <c r="B10" s="18" t="s">
        <v>276</v>
      </c>
      <c r="C10" s="19"/>
      <c r="D10" s="19"/>
      <c r="E10" s="19"/>
      <c r="F10" s="22"/>
      <c r="G10"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4:G4"/>
  </mergeCells>
  <dataValidations>
    <dataValidation type="list" allowBlank="1" sqref="F6:F10">
      <formula1>"0,1,2,3,4,5"</formula1>
    </dataValidation>
    <dataValidation type="list" allowBlank="1" sqref="D6:D10">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
    <col customWidth="1" min="2" max="2" width="72.0"/>
    <col customWidth="1" min="3" max="3" width="58.0"/>
    <col customWidth="1" min="4" max="4" width="22.0"/>
    <col customWidth="1" min="5" max="5" width="28.0"/>
    <col customWidth="1" min="6" max="6" width="10.0"/>
    <col customWidth="1" min="7" max="7" width="36.0"/>
    <col customWidth="1" min="8" max="26" width="8.71"/>
  </cols>
  <sheetData>
    <row r="1" ht="24.0" customHeight="1">
      <c r="A1" s="1" t="s">
        <v>280</v>
      </c>
    </row>
    <row r="2" ht="18.0" customHeight="1">
      <c r="A2" s="5" t="s">
        <v>282</v>
      </c>
    </row>
    <row r="4">
      <c r="A4" s="7" t="s">
        <v>9</v>
      </c>
      <c r="B4" s="9"/>
      <c r="C4" s="9"/>
      <c r="D4" s="9"/>
      <c r="E4" s="9"/>
      <c r="F4" s="9"/>
      <c r="G4" s="12"/>
    </row>
    <row r="5">
      <c r="A5" s="14" t="s">
        <v>19</v>
      </c>
      <c r="B5" s="14" t="s">
        <v>23</v>
      </c>
      <c r="C5" s="14" t="s">
        <v>26</v>
      </c>
      <c r="D5" s="14" t="s">
        <v>28</v>
      </c>
      <c r="E5" s="14" t="s">
        <v>31</v>
      </c>
      <c r="F5" s="14" t="s">
        <v>32</v>
      </c>
      <c r="G5" s="14" t="s">
        <v>35</v>
      </c>
    </row>
    <row r="6" ht="52.5" customHeight="1">
      <c r="A6" s="17" t="s">
        <v>287</v>
      </c>
      <c r="B6" s="18" t="s">
        <v>288</v>
      </c>
      <c r="C6" s="19"/>
      <c r="D6" s="19"/>
      <c r="E6" s="19"/>
      <c r="F6" s="22"/>
      <c r="G6" s="23"/>
    </row>
    <row r="7" ht="27.75" customHeight="1">
      <c r="A7" s="24" t="s">
        <v>292</v>
      </c>
      <c r="B7" s="20" t="s">
        <v>294</v>
      </c>
      <c r="C7" s="19"/>
      <c r="D7" s="19"/>
      <c r="E7" s="19"/>
      <c r="F7" s="22"/>
      <c r="G7" s="23"/>
    </row>
    <row r="8" ht="40.5" customHeight="1">
      <c r="A8" s="17" t="s">
        <v>296</v>
      </c>
      <c r="B8" s="18" t="s">
        <v>298</v>
      </c>
      <c r="C8" s="19"/>
      <c r="D8" s="19"/>
      <c r="E8" s="19"/>
      <c r="F8" s="22"/>
      <c r="G8" s="23"/>
    </row>
    <row r="9" ht="27.75" customHeight="1">
      <c r="A9" s="24" t="s">
        <v>300</v>
      </c>
      <c r="B9" s="20" t="s">
        <v>302</v>
      </c>
      <c r="C9" s="19"/>
      <c r="D9" s="19"/>
      <c r="E9" s="19"/>
      <c r="F9" s="22"/>
      <c r="G9" s="23"/>
    </row>
    <row r="10" ht="27.75" customHeight="1">
      <c r="A10" s="17" t="s">
        <v>303</v>
      </c>
      <c r="B10" s="18" t="s">
        <v>304</v>
      </c>
      <c r="C10" s="19"/>
      <c r="D10" s="19"/>
      <c r="E10" s="19"/>
      <c r="F10" s="22"/>
      <c r="G10"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4:G4"/>
  </mergeCells>
  <dataValidations>
    <dataValidation type="list" allowBlank="1" sqref="F6:F10">
      <formula1>"0,1,2,3,4,5"</formula1>
    </dataValidation>
    <dataValidation type="list" allowBlank="1" sqref="D6:D10">
      <formula1>"Available today,Roadmap — committable date,Roadmap — not committable,Not available,N/A"</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6.0"/>
    <col customWidth="1" min="2" max="2" width="28.0"/>
    <col customWidth="1" min="3" max="3" width="12.0"/>
    <col customWidth="1" min="4" max="4" width="52.0"/>
    <col customWidth="1" min="5" max="5" width="38.0"/>
    <col customWidth="1" min="6" max="6" width="48.0"/>
    <col customWidth="1" min="7" max="7" width="28.0"/>
    <col customWidth="1" min="8" max="8" width="22.0"/>
    <col customWidth="1" min="9" max="9" width="44.0"/>
    <col customWidth="1" min="10" max="10" width="13.0"/>
    <col customWidth="1" min="11" max="11" width="32.0"/>
    <col customWidth="1" min="12" max="26" width="8.71"/>
  </cols>
  <sheetData>
    <row r="1" ht="25.5" customHeight="1">
      <c r="A1" s="40" t="s">
        <v>305</v>
      </c>
      <c r="B1" s="9"/>
      <c r="C1" s="9"/>
      <c r="D1" s="9"/>
      <c r="E1" s="9"/>
      <c r="F1" s="9"/>
      <c r="G1" s="9"/>
      <c r="H1" s="9"/>
      <c r="I1" s="9"/>
      <c r="J1" s="9"/>
      <c r="K1" s="12"/>
    </row>
    <row r="2">
      <c r="A2" s="14" t="s">
        <v>306</v>
      </c>
      <c r="B2" s="14" t="s">
        <v>307</v>
      </c>
      <c r="C2" s="14" t="s">
        <v>308</v>
      </c>
      <c r="D2" s="14" t="s">
        <v>309</v>
      </c>
      <c r="E2" s="14" t="s">
        <v>310</v>
      </c>
      <c r="F2" s="14" t="s">
        <v>311</v>
      </c>
      <c r="G2" s="14" t="s">
        <v>312</v>
      </c>
      <c r="H2" s="14" t="s">
        <v>313</v>
      </c>
      <c r="I2" s="14" t="s">
        <v>314</v>
      </c>
      <c r="J2" s="14" t="s">
        <v>315</v>
      </c>
      <c r="K2" s="14" t="s">
        <v>35</v>
      </c>
    </row>
    <row r="3" ht="102.75" customHeight="1">
      <c r="A3" s="17" t="s">
        <v>316</v>
      </c>
      <c r="B3" s="18" t="s">
        <v>317</v>
      </c>
      <c r="C3" s="18" t="s">
        <v>318</v>
      </c>
      <c r="D3" s="18" t="s">
        <v>319</v>
      </c>
      <c r="E3" s="18" t="s">
        <v>320</v>
      </c>
      <c r="F3" s="18" t="s">
        <v>321</v>
      </c>
      <c r="G3" s="18" t="s">
        <v>322</v>
      </c>
      <c r="H3" s="19"/>
      <c r="I3" s="19"/>
      <c r="J3" s="23"/>
      <c r="K3" s="23"/>
    </row>
    <row r="4" ht="78.0" customHeight="1">
      <c r="A4" s="24" t="s">
        <v>324</v>
      </c>
      <c r="B4" s="20" t="s">
        <v>326</v>
      </c>
      <c r="C4" s="20" t="s">
        <v>327</v>
      </c>
      <c r="D4" s="20" t="s">
        <v>328</v>
      </c>
      <c r="E4" s="20" t="s">
        <v>330</v>
      </c>
      <c r="F4" s="20" t="s">
        <v>331</v>
      </c>
      <c r="G4" s="20" t="s">
        <v>332</v>
      </c>
      <c r="H4" s="19"/>
      <c r="I4" s="19"/>
      <c r="J4" s="23"/>
      <c r="K4" s="23"/>
    </row>
    <row r="5" ht="78.0" customHeight="1">
      <c r="A5" s="17" t="s">
        <v>334</v>
      </c>
      <c r="B5" s="18" t="s">
        <v>335</v>
      </c>
      <c r="C5" s="18" t="s">
        <v>327</v>
      </c>
      <c r="D5" s="18" t="s">
        <v>337</v>
      </c>
      <c r="E5" s="18" t="s">
        <v>339</v>
      </c>
      <c r="F5" s="18" t="s">
        <v>341</v>
      </c>
      <c r="G5" s="18" t="s">
        <v>342</v>
      </c>
      <c r="H5" s="19"/>
      <c r="I5" s="19"/>
      <c r="J5" s="23"/>
      <c r="K5" s="23"/>
    </row>
    <row r="6" ht="65.25" customHeight="1">
      <c r="A6" s="24" t="s">
        <v>345</v>
      </c>
      <c r="B6" s="20" t="s">
        <v>347</v>
      </c>
      <c r="C6" s="20" t="s">
        <v>348</v>
      </c>
      <c r="D6" s="20" t="s">
        <v>349</v>
      </c>
      <c r="E6" s="20" t="s">
        <v>350</v>
      </c>
      <c r="F6" s="20" t="s">
        <v>351</v>
      </c>
      <c r="G6" s="20" t="s">
        <v>352</v>
      </c>
      <c r="H6" s="19"/>
      <c r="I6" s="19"/>
      <c r="J6" s="23"/>
      <c r="K6" s="23"/>
    </row>
    <row r="7" ht="60.0" customHeight="1">
      <c r="A7" s="17" t="s">
        <v>353</v>
      </c>
      <c r="B7" s="18" t="s">
        <v>354</v>
      </c>
      <c r="C7" s="18" t="s">
        <v>355</v>
      </c>
      <c r="D7" s="18" t="s">
        <v>356</v>
      </c>
      <c r="E7" s="18" t="s">
        <v>357</v>
      </c>
      <c r="F7" s="18" t="s">
        <v>358</v>
      </c>
      <c r="G7" s="18" t="s">
        <v>359</v>
      </c>
      <c r="H7" s="19"/>
      <c r="I7" s="19"/>
      <c r="J7" s="23"/>
      <c r="K7" s="23"/>
    </row>
    <row r="8" ht="65.25" customHeight="1">
      <c r="A8" s="24" t="s">
        <v>361</v>
      </c>
      <c r="B8" s="20" t="s">
        <v>362</v>
      </c>
      <c r="C8" s="20" t="s">
        <v>363</v>
      </c>
      <c r="D8" s="20" t="s">
        <v>364</v>
      </c>
      <c r="E8" s="20" t="s">
        <v>365</v>
      </c>
      <c r="F8" s="20" t="s">
        <v>366</v>
      </c>
      <c r="G8" s="20" t="s">
        <v>367</v>
      </c>
      <c r="H8" s="19"/>
      <c r="I8" s="19"/>
      <c r="J8" s="23"/>
      <c r="K8" s="23"/>
    </row>
    <row r="9" ht="60.0" customHeight="1">
      <c r="A9" s="17" t="s">
        <v>369</v>
      </c>
      <c r="B9" s="18" t="s">
        <v>370</v>
      </c>
      <c r="C9" s="18" t="s">
        <v>363</v>
      </c>
      <c r="D9" s="18" t="s">
        <v>371</v>
      </c>
      <c r="E9" s="18" t="s">
        <v>372</v>
      </c>
      <c r="F9" s="18" t="s">
        <v>373</v>
      </c>
      <c r="G9" s="18" t="s">
        <v>359</v>
      </c>
      <c r="H9" s="19"/>
      <c r="I9" s="19"/>
      <c r="J9" s="23"/>
      <c r="K9" s="23"/>
    </row>
    <row r="10" ht="60.0" customHeight="1">
      <c r="A10" s="24" t="s">
        <v>375</v>
      </c>
      <c r="B10" s="20" t="s">
        <v>376</v>
      </c>
      <c r="C10" s="20" t="s">
        <v>363</v>
      </c>
      <c r="D10" s="20" t="s">
        <v>377</v>
      </c>
      <c r="E10" s="20" t="s">
        <v>378</v>
      </c>
      <c r="F10" s="20" t="s">
        <v>379</v>
      </c>
      <c r="G10" s="20" t="s">
        <v>359</v>
      </c>
      <c r="H10" s="19"/>
      <c r="I10" s="19"/>
      <c r="J10" s="23"/>
      <c r="K10" s="23"/>
    </row>
    <row r="11" ht="78.0" customHeight="1">
      <c r="A11" s="17" t="s">
        <v>381</v>
      </c>
      <c r="B11" s="18" t="s">
        <v>382</v>
      </c>
      <c r="C11" s="18" t="s">
        <v>363</v>
      </c>
      <c r="D11" s="18" t="s">
        <v>383</v>
      </c>
      <c r="E11" s="18" t="s">
        <v>384</v>
      </c>
      <c r="F11" s="18" t="s">
        <v>386</v>
      </c>
      <c r="G11" s="18" t="s">
        <v>387</v>
      </c>
      <c r="H11" s="19"/>
      <c r="I11" s="19"/>
      <c r="J11" s="23"/>
      <c r="K11"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dataValidations>
    <dataValidation type="list" allowBlank="1" sqref="H3:H11">
      <formula1>"Confirmed,Confirmed with qualifications,Not confirmed"</formula1>
    </dataValidation>
    <dataValidation type="list" allowBlank="1" sqref="J3:J11">
      <formula1>"Pass,Fail,Pending"</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46.0"/>
    <col customWidth="1" min="2" max="2" width="12.0"/>
    <col customWidth="1" min="3" max="3" width="26.0"/>
    <col customWidth="1" min="4" max="6" width="20.0"/>
    <col customWidth="1" min="7" max="7" width="42.0"/>
    <col customWidth="1" min="8" max="8" width="32.0"/>
    <col customWidth="1" min="9" max="26" width="8.71"/>
  </cols>
  <sheetData>
    <row r="1">
      <c r="A1" s="41" t="s">
        <v>323</v>
      </c>
    </row>
    <row r="2" ht="27.75" customHeight="1">
      <c r="A2" s="42" t="s">
        <v>325</v>
      </c>
    </row>
    <row r="3" ht="25.5" customHeight="1">
      <c r="A3" s="40" t="s">
        <v>329</v>
      </c>
      <c r="B3" s="9"/>
      <c r="C3" s="9"/>
      <c r="D3" s="9"/>
      <c r="E3" s="9"/>
      <c r="F3" s="9"/>
      <c r="G3" s="9"/>
      <c r="H3" s="12"/>
    </row>
    <row r="5">
      <c r="A5" s="14" t="s">
        <v>333</v>
      </c>
      <c r="B5" s="14" t="s">
        <v>39</v>
      </c>
      <c r="C5" s="14" t="s">
        <v>28</v>
      </c>
      <c r="D5" s="14" t="s">
        <v>336</v>
      </c>
      <c r="E5" s="14" t="s">
        <v>338</v>
      </c>
      <c r="F5" s="14" t="s">
        <v>340</v>
      </c>
      <c r="G5" s="14" t="s">
        <v>343</v>
      </c>
      <c r="H5" s="14" t="s">
        <v>35</v>
      </c>
    </row>
    <row r="6">
      <c r="A6" s="18" t="s">
        <v>344</v>
      </c>
      <c r="B6" s="18" t="s">
        <v>346</v>
      </c>
      <c r="C6" s="19"/>
      <c r="D6" s="19"/>
      <c r="E6" s="19"/>
      <c r="F6" s="19"/>
      <c r="G6" s="19"/>
      <c r="H6" s="23"/>
    </row>
    <row r="7">
      <c r="A7" s="20" t="s">
        <v>360</v>
      </c>
      <c r="B7" s="20" t="s">
        <v>346</v>
      </c>
      <c r="C7" s="19"/>
      <c r="D7" s="19"/>
      <c r="E7" s="19"/>
      <c r="F7" s="19"/>
      <c r="G7" s="19"/>
      <c r="H7" s="23"/>
    </row>
    <row r="8">
      <c r="A8" s="18" t="s">
        <v>368</v>
      </c>
      <c r="B8" s="18" t="s">
        <v>346</v>
      </c>
      <c r="C8" s="19"/>
      <c r="D8" s="19"/>
      <c r="E8" s="19"/>
      <c r="F8" s="19"/>
      <c r="G8" s="19"/>
      <c r="H8" s="23"/>
    </row>
    <row r="9">
      <c r="A9" s="20" t="s">
        <v>374</v>
      </c>
      <c r="B9" s="20" t="s">
        <v>346</v>
      </c>
      <c r="C9" s="19"/>
      <c r="D9" s="19"/>
      <c r="E9" s="19"/>
      <c r="F9" s="19"/>
      <c r="G9" s="19"/>
      <c r="H9" s="23"/>
    </row>
    <row r="10">
      <c r="A10" s="18" t="s">
        <v>380</v>
      </c>
      <c r="B10" s="18" t="s">
        <v>346</v>
      </c>
      <c r="C10" s="19"/>
      <c r="D10" s="19"/>
      <c r="E10" s="19"/>
      <c r="F10" s="19"/>
      <c r="G10" s="19"/>
      <c r="H10" s="23"/>
    </row>
    <row r="11">
      <c r="A11" s="20" t="s">
        <v>385</v>
      </c>
      <c r="B11" s="20" t="s">
        <v>346</v>
      </c>
      <c r="C11" s="19"/>
      <c r="D11" s="19"/>
      <c r="E11" s="19"/>
      <c r="F11" s="19"/>
      <c r="G11" s="19"/>
      <c r="H11" s="23"/>
    </row>
    <row r="12">
      <c r="A12" s="18" t="s">
        <v>388</v>
      </c>
      <c r="B12" s="18" t="s">
        <v>346</v>
      </c>
      <c r="C12" s="19"/>
      <c r="D12" s="19"/>
      <c r="E12" s="19"/>
      <c r="F12" s="19"/>
      <c r="G12" s="19"/>
      <c r="H12" s="23"/>
    </row>
    <row r="13">
      <c r="A13" s="20" t="s">
        <v>389</v>
      </c>
      <c r="B13" s="20" t="s">
        <v>346</v>
      </c>
      <c r="C13" s="19"/>
      <c r="D13" s="19"/>
      <c r="E13" s="19"/>
      <c r="F13" s="19"/>
      <c r="G13" s="19"/>
      <c r="H13" s="23"/>
    </row>
    <row r="14">
      <c r="A14" s="18" t="s">
        <v>393</v>
      </c>
      <c r="B14" s="18" t="s">
        <v>346</v>
      </c>
      <c r="C14" s="19"/>
      <c r="D14" s="19"/>
      <c r="E14" s="19"/>
      <c r="F14" s="19"/>
      <c r="G14" s="19"/>
      <c r="H14" s="23"/>
    </row>
    <row r="15">
      <c r="A15" s="20" t="s">
        <v>399</v>
      </c>
      <c r="B15" s="20" t="s">
        <v>346</v>
      </c>
      <c r="C15" s="19"/>
      <c r="D15" s="19"/>
      <c r="E15" s="19"/>
      <c r="F15" s="19"/>
      <c r="G15" s="19"/>
      <c r="H15" s="23"/>
    </row>
    <row r="16">
      <c r="A16" s="18" t="s">
        <v>400</v>
      </c>
      <c r="B16" s="18" t="s">
        <v>346</v>
      </c>
      <c r="C16" s="19"/>
      <c r="D16" s="19"/>
      <c r="E16" s="19"/>
      <c r="F16" s="19"/>
      <c r="G16" s="19"/>
      <c r="H16" s="23"/>
    </row>
    <row r="17">
      <c r="A17" s="20" t="s">
        <v>401</v>
      </c>
      <c r="B17" s="20" t="s">
        <v>402</v>
      </c>
      <c r="C17" s="19"/>
      <c r="D17" s="19"/>
      <c r="E17" s="19"/>
      <c r="F17" s="19"/>
      <c r="G17" s="19"/>
      <c r="H17" s="23"/>
    </row>
    <row r="18">
      <c r="A18" s="18" t="s">
        <v>403</v>
      </c>
      <c r="B18" s="18" t="s">
        <v>346</v>
      </c>
      <c r="C18" s="19"/>
      <c r="D18" s="19"/>
      <c r="E18" s="19"/>
      <c r="F18" s="19"/>
      <c r="G18" s="19"/>
      <c r="H18" s="23"/>
    </row>
    <row r="19">
      <c r="A19" s="20" t="s">
        <v>405</v>
      </c>
      <c r="B19" s="20" t="s">
        <v>346</v>
      </c>
      <c r="C19" s="19"/>
      <c r="D19" s="19"/>
      <c r="E19" s="19"/>
      <c r="F19" s="19"/>
      <c r="G19" s="19"/>
      <c r="H19" s="23"/>
    </row>
    <row r="20">
      <c r="A20" s="18" t="s">
        <v>407</v>
      </c>
      <c r="B20" s="18" t="s">
        <v>346</v>
      </c>
      <c r="C20" s="19"/>
      <c r="D20" s="19"/>
      <c r="E20" s="19"/>
      <c r="F20" s="19"/>
      <c r="G20" s="19"/>
      <c r="H20" s="23"/>
    </row>
    <row r="21" ht="15.75" customHeight="1">
      <c r="A21" s="20" t="s">
        <v>409</v>
      </c>
      <c r="B21" s="20" t="s">
        <v>346</v>
      </c>
      <c r="C21" s="19"/>
      <c r="D21" s="19"/>
      <c r="E21" s="19"/>
      <c r="F21" s="19"/>
      <c r="G21" s="19"/>
      <c r="H21" s="23"/>
    </row>
    <row r="22" ht="15.75" customHeight="1">
      <c r="A22" s="18" t="s">
        <v>411</v>
      </c>
      <c r="B22" s="18" t="s">
        <v>346</v>
      </c>
      <c r="C22" s="19"/>
      <c r="D22" s="19"/>
      <c r="E22" s="19"/>
      <c r="F22" s="19"/>
      <c r="G22" s="19"/>
      <c r="H22" s="23"/>
    </row>
    <row r="23" ht="15.75" customHeight="1">
      <c r="A23" s="20" t="s">
        <v>414</v>
      </c>
      <c r="B23" s="20" t="s">
        <v>346</v>
      </c>
      <c r="C23" s="19"/>
      <c r="D23" s="19"/>
      <c r="E23" s="19"/>
      <c r="F23" s="19"/>
      <c r="G23" s="19"/>
      <c r="H23" s="23"/>
    </row>
    <row r="24" ht="15.75" customHeight="1">
      <c r="A24" s="18" t="s">
        <v>417</v>
      </c>
      <c r="B24" s="18" t="s">
        <v>346</v>
      </c>
      <c r="C24" s="19"/>
      <c r="D24" s="19"/>
      <c r="E24" s="19"/>
      <c r="F24" s="19"/>
      <c r="G24" s="19"/>
      <c r="H24" s="23"/>
    </row>
    <row r="25" ht="15.75" customHeight="1">
      <c r="A25" s="20" t="s">
        <v>420</v>
      </c>
      <c r="B25" s="20" t="s">
        <v>346</v>
      </c>
      <c r="C25" s="19"/>
      <c r="D25" s="19"/>
      <c r="E25" s="19"/>
      <c r="F25" s="19"/>
      <c r="G25" s="19"/>
      <c r="H25" s="23"/>
    </row>
    <row r="26" ht="15.75" customHeight="1">
      <c r="A26" s="18" t="s">
        <v>423</v>
      </c>
      <c r="B26" s="18" t="s">
        <v>346</v>
      </c>
      <c r="C26" s="19"/>
      <c r="D26" s="19"/>
      <c r="E26" s="19"/>
      <c r="F26" s="19"/>
      <c r="G26" s="19"/>
      <c r="H26" s="23"/>
    </row>
    <row r="27" ht="15.75" customHeight="1">
      <c r="A27" s="20" t="s">
        <v>426</v>
      </c>
      <c r="B27" s="20" t="s">
        <v>346</v>
      </c>
      <c r="C27" s="19"/>
      <c r="D27" s="19"/>
      <c r="E27" s="19"/>
      <c r="F27" s="19"/>
      <c r="G27" s="19"/>
      <c r="H27" s="23"/>
    </row>
    <row r="28" ht="15.75" customHeight="1">
      <c r="A28" s="18" t="s">
        <v>429</v>
      </c>
      <c r="B28" s="18" t="s">
        <v>346</v>
      </c>
      <c r="C28" s="19"/>
      <c r="D28" s="19"/>
      <c r="E28" s="19"/>
      <c r="F28" s="19"/>
      <c r="G28" s="19"/>
      <c r="H28" s="23"/>
    </row>
    <row r="29" ht="15.75" customHeight="1">
      <c r="A29" s="20" t="s">
        <v>430</v>
      </c>
      <c r="B29" s="20" t="s">
        <v>346</v>
      </c>
      <c r="C29" s="19"/>
      <c r="D29" s="19"/>
      <c r="E29" s="19"/>
      <c r="F29" s="19"/>
      <c r="G29" s="19"/>
      <c r="H29" s="2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H2"/>
    <mergeCell ref="A3:H3"/>
  </mergeCells>
  <dataValidations>
    <dataValidation type="list" allowBlank="1" sqref="C6:C29">
      <formula1>"AT — available today,RM — roadmap (committed date),NA — not available"</formula1>
    </dataValidation>
    <dataValidation type="list" allowBlank="1" sqref="E6:E29">
      <formula1>"API,Webhook,Batch,BPO,Manual,Mixed"</formula1>
    </dataValidation>
    <dataValidation type="list" allowBlank="1" sqref="F6:F29">
      <formula1>"Yes,No"</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48.0"/>
    <col customWidth="1" min="3" max="3" width="10.0"/>
    <col customWidth="1" min="4" max="4" width="14.0"/>
    <col customWidth="1" min="5" max="5" width="17.0"/>
    <col customWidth="1" min="6" max="6" width="42.0"/>
    <col customWidth="1" min="7" max="26" width="8.71"/>
  </cols>
  <sheetData>
    <row r="2">
      <c r="B2" s="41" t="s">
        <v>390</v>
      </c>
    </row>
    <row r="3">
      <c r="B3" s="43" t="s">
        <v>391</v>
      </c>
    </row>
    <row r="5">
      <c r="B5" s="14" t="s">
        <v>392</v>
      </c>
      <c r="C5" s="14" t="s">
        <v>394</v>
      </c>
      <c r="D5" s="14" t="s">
        <v>395</v>
      </c>
      <c r="E5" s="14" t="s">
        <v>396</v>
      </c>
      <c r="F5" s="14" t="s">
        <v>397</v>
      </c>
    </row>
    <row r="6">
      <c r="B6" s="18" t="s">
        <v>398</v>
      </c>
      <c r="C6" s="44">
        <v>0.2</v>
      </c>
      <c r="D6" s="45" t="str">
        <f>IFERROR(ROUND(AVERAGE('1. Functional Scope'!F51:F61),2),"—")</f>
        <v>—</v>
      </c>
      <c r="E6" s="46">
        <f t="shared" ref="E6:E13" si="1">IF(ISNUMBER(D6),D6/5*C6,0)</f>
        <v>0</v>
      </c>
      <c r="F6" s="47" t="s">
        <v>404</v>
      </c>
    </row>
    <row r="7">
      <c r="B7" s="20" t="s">
        <v>406</v>
      </c>
      <c r="C7" s="48">
        <v>0.15</v>
      </c>
      <c r="D7" s="49" t="str">
        <f>IFERROR(ROUND(AVERAGE('2. API &amp; Integration'!F6:F20),2),"—")</f>
        <v>—</v>
      </c>
      <c r="E7" s="50">
        <f t="shared" si="1"/>
        <v>0</v>
      </c>
      <c r="F7" s="51" t="s">
        <v>408</v>
      </c>
    </row>
    <row r="8">
      <c r="B8" s="18" t="s">
        <v>410</v>
      </c>
      <c r="C8" s="44">
        <v>0.15</v>
      </c>
      <c r="D8" s="45" t="str">
        <f>IFERROR(ROUND(AVERAGE('5. Build-Phase Support'!F17:F23),2),"—")</f>
        <v>—</v>
      </c>
      <c r="E8" s="46">
        <f t="shared" si="1"/>
        <v>0</v>
      </c>
      <c r="F8" s="47" t="s">
        <v>412</v>
      </c>
    </row>
    <row r="9">
      <c r="B9" s="20" t="s">
        <v>413</v>
      </c>
      <c r="C9" s="48">
        <v>0.1</v>
      </c>
      <c r="D9" s="49" t="str">
        <f>IFERROR(ROUND(AVERAGE('3. Sandbox &amp; DX'!F7:F14),2),"—")</f>
        <v>—</v>
      </c>
      <c r="E9" s="50">
        <f t="shared" si="1"/>
        <v>0</v>
      </c>
      <c r="F9" s="51" t="s">
        <v>415</v>
      </c>
    </row>
    <row r="10">
      <c r="B10" s="18" t="s">
        <v>416</v>
      </c>
      <c r="C10" s="44">
        <v>0.1</v>
      </c>
      <c r="D10" s="45" t="str">
        <f>IFERROR(ROUND(AVERAGE('4. Documentation'!F8:F13),2),"—")</f>
        <v>—</v>
      </c>
      <c r="E10" s="46">
        <f t="shared" si="1"/>
        <v>0</v>
      </c>
      <c r="F10" s="47" t="s">
        <v>418</v>
      </c>
    </row>
    <row r="11">
      <c r="B11" s="20" t="s">
        <v>419</v>
      </c>
      <c r="C11" s="48">
        <v>0.1</v>
      </c>
      <c r="D11" s="49" t="str">
        <f>IFERROR(ROUND(AVERAGE('6. SLAs &amp; Support'!F6:F14),2),"—")</f>
        <v>—</v>
      </c>
      <c r="E11" s="50">
        <f t="shared" si="1"/>
        <v>0</v>
      </c>
      <c r="F11" s="51" t="s">
        <v>421</v>
      </c>
    </row>
    <row r="12">
      <c r="B12" s="18" t="s">
        <v>422</v>
      </c>
      <c r="C12" s="44">
        <v>0.1</v>
      </c>
      <c r="D12" s="45" t="str">
        <f>IFERROR(ROUND(AVERAGE('7. Resilience &amp; Data'!F10:F23),2),"—")</f>
        <v>—</v>
      </c>
      <c r="E12" s="46">
        <f t="shared" si="1"/>
        <v>0</v>
      </c>
      <c r="F12" s="47" t="s">
        <v>424</v>
      </c>
    </row>
    <row r="13">
      <c r="B13" s="20" t="s">
        <v>425</v>
      </c>
      <c r="C13" s="48">
        <v>0.1</v>
      </c>
      <c r="D13" s="49" t="str">
        <f>IFERROR(ROUND(AVERAGE('9. Commercials'!F6:F10),2),"—")</f>
        <v>—</v>
      </c>
      <c r="E13" s="50">
        <f t="shared" si="1"/>
        <v>0</v>
      </c>
      <c r="F13" s="51" t="s">
        <v>427</v>
      </c>
    </row>
    <row r="14">
      <c r="B14" s="52" t="s">
        <v>428</v>
      </c>
      <c r="C14" s="53">
        <f>SUM(C6:C13)</f>
        <v>1</v>
      </c>
      <c r="D14" s="26"/>
      <c r="E14" s="54">
        <f>SUM(E6:E13)</f>
        <v>0</v>
      </c>
      <c r="F14" s="26"/>
    </row>
    <row r="16">
      <c r="B16" s="55" t="s">
        <v>431</v>
      </c>
    </row>
    <row r="17">
      <c r="B17" s="56" t="s">
        <v>432</v>
      </c>
      <c r="C17" s="56">
        <f>COUNTIF(Gates!$J$3:$J$11,"Pass")</f>
        <v>0</v>
      </c>
    </row>
    <row r="18">
      <c r="B18" s="56" t="s">
        <v>433</v>
      </c>
      <c r="C18" s="56">
        <f>COUNTIF(Gates!$J$3:$J$11,"Fail")</f>
        <v>0</v>
      </c>
    </row>
    <row r="19">
      <c r="B19" s="56" t="s">
        <v>434</v>
      </c>
      <c r="C19" s="56">
        <f>9-COUNTIF(Gates!$J$3:$J$11,"Pass")-COUNTIF(Gates!$J$3:$J$11,"Fail")</f>
        <v>9</v>
      </c>
    </row>
    <row r="20">
      <c r="B20" s="57" t="s">
        <v>435</v>
      </c>
      <c r="C20" s="57" t="str">
        <f>IF(COUNTIF(Gates!$J$3:$J$11,"Fail")&gt;0,"ELIMINATED — gate failed",IF(COUNTIF(Gates!$J$3:$J$11,"Pass")=9,"All gates passed — score stands","Gates pending"))</f>
        <v>Gates pending</v>
      </c>
    </row>
    <row r="21" ht="15.75" customHeight="1"/>
    <row r="22" ht="15.75" customHeight="1">
      <c r="B22" s="43" t="s">
        <v>436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